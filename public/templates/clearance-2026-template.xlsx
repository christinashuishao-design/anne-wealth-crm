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1"/>
  </bookViews>
  <sheets>
    <sheet name="Invoice" sheetId="1" r:id="rId1"/>
    <sheet name="Packing list" sheetId="2" r:id="rId2"/>
    <sheet name="Contract" sheetId="4" state="hidden" r:id="rId3"/>
    <sheet name="报关单" sheetId="3" state="hidden" r:id="rId4"/>
  </sheets>
  <externalReferences>
    <externalReference r:id="rId5"/>
    <externalReference r:id="rId6"/>
  </externalReferences>
  <definedNames>
    <definedName name="_xlnm.Print_Area" localSheetId="1">'Packing list'!$A$1:$N$11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<sst xmlns="http://schemas.openxmlformats.org/spreadsheetml/2006/main" count="114" uniqueCount="109">
  <si>
    <t>GUANGZHOU AC SKINCARE PACKAGING CO.,LTD</t>
  </si>
  <si>
    <t>RM 1002, Shuixi Fuye 1st Street, Huangpu District, Guangzhou, CN
Phone: +8618688407515 Emai.l: ANNE@SKINCAREPKG.COM</t>
  </si>
  <si>
    <t>COMMERCIAL INVOICE</t>
  </si>
  <si>
    <t>TO:</t>
  </si>
  <si>
    <r>
      <t>Company: Midvision Pvt Ltd
Name: Mr Rishi
Phone: 0049054018363-413
Address: SCO 41, Chotti Baradari Part 2, Opposite PIMS Hospital, Jalandhar, Punjab 144001</t>
    </r>
    <r>
      <rPr>
        <sz val="10"/>
        <rFont val="宋体"/>
        <charset val="134"/>
      </rPr>
      <t>，</t>
    </r>
    <r>
      <rPr>
        <sz val="10"/>
        <rFont val="Arial"/>
        <charset val="134"/>
      </rPr>
      <t>India</t>
    </r>
  </si>
  <si>
    <t>Invoice No: PI-AC250722
Payment Terms: T/T Before Shipment,30DAY(S);
Date: 2026/06/05</t>
  </si>
  <si>
    <r>
      <rPr>
        <b/>
        <sz val="10"/>
        <color rgb="FF000000"/>
        <rFont val="Microsoft YaHei UI"/>
        <charset val="134"/>
      </rPr>
      <t xml:space="preserve">唛号与号码
</t>
    </r>
    <r>
      <rPr>
        <b/>
        <sz val="10"/>
        <rFont val="Arial"/>
        <charset val="134"/>
      </rPr>
      <t xml:space="preserve">Marks &amp; No. </t>
    </r>
  </si>
  <si>
    <r>
      <rPr>
        <b/>
        <sz val="10"/>
        <color rgb="FF000000"/>
        <rFont val="宋体"/>
        <charset val="134"/>
      </rPr>
      <t>品名</t>
    </r>
    <r>
      <rPr>
        <b/>
        <sz val="10"/>
        <rFont val="Arial"/>
        <charset val="134"/>
      </rPr>
      <t xml:space="preserve">
Product</t>
    </r>
  </si>
  <si>
    <r>
      <rPr>
        <b/>
        <sz val="10"/>
        <color rgb="FF000000"/>
        <rFont val="宋体"/>
        <charset val="134"/>
      </rPr>
      <t xml:space="preserve">数量
</t>
    </r>
    <r>
      <rPr>
        <b/>
        <sz val="10"/>
        <rFont val="Arial"/>
        <charset val="134"/>
      </rPr>
      <t>Quantities</t>
    </r>
  </si>
  <si>
    <r>
      <rPr>
        <b/>
        <sz val="10"/>
        <color rgb="FF000000"/>
        <rFont val="宋体"/>
        <charset val="134"/>
      </rPr>
      <t xml:space="preserve">箱数
</t>
    </r>
    <r>
      <rPr>
        <b/>
        <sz val="10"/>
        <rFont val="Arial"/>
        <charset val="134"/>
      </rPr>
      <t>Cartons</t>
    </r>
  </si>
  <si>
    <r>
      <t>单价</t>
    </r>
    <r>
      <rPr>
        <b/>
        <sz val="10"/>
        <rFont val="Arial"/>
        <charset val="134"/>
      </rPr>
      <t xml:space="preserve">
Unit Price
EXW Factory USD</t>
    </r>
  </si>
  <si>
    <r>
      <t>总值</t>
    </r>
    <r>
      <rPr>
        <b/>
        <sz val="10"/>
        <rFont val="Arial"/>
        <charset val="134"/>
      </rPr>
      <t xml:space="preserve">
Amount
EXW Factory USD</t>
    </r>
  </si>
  <si>
    <t>AC250722</t>
  </si>
  <si>
    <r>
      <t>Plastic pump</t>
    </r>
    <r>
      <rPr>
        <sz val="12"/>
        <rFont val="宋体"/>
        <charset val="134"/>
      </rPr>
      <t>塑料泵头</t>
    </r>
  </si>
  <si>
    <r>
      <rPr>
        <b/>
        <sz val="16"/>
        <color rgb="FF000000"/>
        <rFont val="Arial"/>
        <charset val="134"/>
      </rPr>
      <t>GUANGZHOU AC SKINCARE PACKAGING CO.,LTD</t>
    </r>
    <r>
      <rPr>
        <b/>
        <sz val="10"/>
        <color rgb="FF000000"/>
        <rFont val="Arial"/>
        <charset val="134"/>
      </rPr>
      <t xml:space="preserve">
</t>
    </r>
    <r>
      <rPr>
        <sz val="10"/>
        <color rgb="FF000000"/>
        <rFont val="Arial"/>
        <charset val="134"/>
      </rPr>
      <t>RM 1002, Shuixi Fuye 1st Street, Huangpu District, Guangzhou, CN
Phone: +8618688407515 Emai.l: ANNE@SKINCAREPKG.COM</t>
    </r>
  </si>
  <si>
    <t>PACKING LIST</t>
  </si>
  <si>
    <t>AU NATUREL BEAUTY PRIVATE LIMITED
Address: 7KM MILE STONE, KAIZEN DAIRY FOODWORKS PRIVATE LIMITED,
ATELI KANINA ROAD, MAHASAR,
MAHENDRAGARH, HARYANA - 123021
GST: 06AAVCA8783E1Z3
IEC: AAVCA8783E
Email:  advay@neudeskin.com   neudeskincare@gmail.com</t>
  </si>
  <si>
    <t>Invoice: PI-AC250722
Date: 2026/06/05</t>
  </si>
  <si>
    <t/>
  </si>
  <si>
    <t>CARTON</t>
  </si>
  <si>
    <t>TOTAL</t>
  </si>
  <si>
    <t>NO</t>
  </si>
  <si>
    <r>
      <rPr>
        <b/>
        <sz val="10"/>
        <color theme="1"/>
        <rFont val="Arial"/>
        <charset val="134"/>
      </rPr>
      <t xml:space="preserve">PRODUCTION NAME
</t>
    </r>
    <r>
      <rPr>
        <b/>
        <sz val="10"/>
        <color theme="1"/>
        <rFont val="宋体"/>
        <charset val="134"/>
      </rPr>
      <t>产品名</t>
    </r>
  </si>
  <si>
    <r>
      <rPr>
        <b/>
        <sz val="10"/>
        <color theme="1"/>
        <rFont val="Arial"/>
        <charset val="134"/>
      </rPr>
      <t xml:space="preserve">QTY
</t>
    </r>
    <r>
      <rPr>
        <b/>
        <sz val="10"/>
        <color theme="1"/>
        <rFont val="宋体"/>
        <charset val="134"/>
      </rPr>
      <t>订单数量</t>
    </r>
  </si>
  <si>
    <r>
      <rPr>
        <b/>
        <sz val="10"/>
        <color theme="1"/>
        <rFont val="Arial"/>
        <charset val="134"/>
      </rPr>
      <t xml:space="preserve">QTY/CTN
</t>
    </r>
    <r>
      <rPr>
        <b/>
        <sz val="10"/>
        <color theme="1"/>
        <rFont val="宋体"/>
        <charset val="134"/>
      </rPr>
      <t>个</t>
    </r>
    <r>
      <rPr>
        <b/>
        <sz val="10"/>
        <color theme="1"/>
        <rFont val="Arial"/>
        <charset val="134"/>
      </rPr>
      <t>/</t>
    </r>
    <r>
      <rPr>
        <b/>
        <sz val="10"/>
        <color theme="1"/>
        <rFont val="宋体"/>
        <charset val="134"/>
      </rPr>
      <t>箱</t>
    </r>
  </si>
  <si>
    <r>
      <rPr>
        <b/>
        <sz val="10"/>
        <color theme="1"/>
        <rFont val="Arial"/>
        <charset val="134"/>
      </rPr>
      <t xml:space="preserve">CARTON. SIZE CM
</t>
    </r>
    <r>
      <rPr>
        <b/>
        <sz val="10"/>
        <color theme="1"/>
        <rFont val="宋体"/>
        <charset val="134"/>
      </rPr>
      <t>纸箱尺寸</t>
    </r>
  </si>
  <si>
    <r>
      <rPr>
        <b/>
        <sz val="10"/>
        <color theme="1"/>
        <rFont val="Arial"/>
        <charset val="134"/>
      </rPr>
      <t xml:space="preserve">CBM
</t>
    </r>
    <r>
      <rPr>
        <b/>
        <sz val="10"/>
        <color theme="1"/>
        <rFont val="宋体"/>
        <charset val="134"/>
      </rPr>
      <t>体积</t>
    </r>
  </si>
  <si>
    <r>
      <rPr>
        <b/>
        <sz val="10"/>
        <color theme="1"/>
        <rFont val="Arial"/>
        <charset val="134"/>
      </rPr>
      <t xml:space="preserve">N.W.
</t>
    </r>
    <r>
      <rPr>
        <b/>
        <sz val="10"/>
        <color theme="1"/>
        <rFont val="宋体"/>
        <charset val="134"/>
      </rPr>
      <t>净重</t>
    </r>
  </si>
  <si>
    <r>
      <rPr>
        <b/>
        <sz val="10"/>
        <color theme="1"/>
        <rFont val="Arial"/>
        <charset val="134"/>
      </rPr>
      <t xml:space="preserve">G.W
</t>
    </r>
    <r>
      <rPr>
        <b/>
        <sz val="10"/>
        <color theme="1"/>
        <rFont val="宋体"/>
        <charset val="134"/>
      </rPr>
      <t>毛重</t>
    </r>
  </si>
  <si>
    <r>
      <rPr>
        <b/>
        <sz val="10"/>
        <color theme="1"/>
        <rFont val="Arial"/>
        <charset val="134"/>
      </rPr>
      <t xml:space="preserve">CARTON
</t>
    </r>
    <r>
      <rPr>
        <b/>
        <sz val="10"/>
        <color theme="1"/>
        <rFont val="宋体"/>
        <charset val="134"/>
      </rPr>
      <t>总箱数</t>
    </r>
  </si>
  <si>
    <r>
      <rPr>
        <b/>
        <sz val="10"/>
        <color theme="1"/>
        <rFont val="Arial"/>
        <charset val="134"/>
      </rPr>
      <t xml:space="preserve"> N.W.
</t>
    </r>
    <r>
      <rPr>
        <b/>
        <sz val="10"/>
        <color theme="1"/>
        <rFont val="宋体"/>
        <charset val="134"/>
      </rPr>
      <t>总净重</t>
    </r>
  </si>
  <si>
    <r>
      <rPr>
        <b/>
        <sz val="10"/>
        <color theme="1"/>
        <rFont val="Arial"/>
        <charset val="134"/>
      </rPr>
      <t xml:space="preserve">G.W.
</t>
    </r>
    <r>
      <rPr>
        <b/>
        <sz val="10"/>
        <color theme="1"/>
        <rFont val="宋体"/>
        <charset val="134"/>
      </rPr>
      <t>总毛重</t>
    </r>
  </si>
  <si>
    <r>
      <rPr>
        <b/>
        <sz val="10"/>
        <color theme="1"/>
        <rFont val="Arial"/>
        <charset val="134"/>
      </rPr>
      <t xml:space="preserve">CBM
</t>
    </r>
    <r>
      <rPr>
        <b/>
        <sz val="10"/>
        <color theme="1"/>
        <rFont val="宋体"/>
        <charset val="134"/>
      </rPr>
      <t>总体积</t>
    </r>
  </si>
  <si>
    <r>
      <t xml:space="preserve">Plastic bottle
</t>
    </r>
    <r>
      <rPr>
        <sz val="10"/>
        <rFont val="宋体"/>
        <charset val="134"/>
      </rPr>
      <t>塑料瓶</t>
    </r>
  </si>
  <si>
    <r>
      <t>Plastic pump</t>
    </r>
    <r>
      <rPr>
        <sz val="10"/>
        <rFont val="宋体"/>
        <charset val="134"/>
      </rPr>
      <t>塑料泵头</t>
    </r>
  </si>
  <si>
    <r>
      <t xml:space="preserve">Plastic cover 
</t>
    </r>
    <r>
      <rPr>
        <sz val="10"/>
        <rFont val="宋体"/>
        <charset val="134"/>
      </rPr>
      <t>塑料外盖</t>
    </r>
  </si>
  <si>
    <t>TOTAL CARTONS:</t>
  </si>
  <si>
    <t>TOTAL N.W.:</t>
  </si>
  <si>
    <t>TOTAL G.W.:</t>
  </si>
  <si>
    <t>TOTAL VOLUME</t>
  </si>
  <si>
    <t>SHIPPING MARK:</t>
  </si>
  <si>
    <r>
      <rPr>
        <b/>
        <sz val="18"/>
        <rFont val="Arial"/>
        <charset val="134"/>
      </rPr>
      <t xml:space="preserve">GUANGZHOU AC SKINCARE PACKAGING CO.,LTD
</t>
    </r>
    <r>
      <rPr>
        <sz val="10"/>
        <rFont val="Arial"/>
        <charset val="134"/>
      </rPr>
      <t>RM 1002, Shuixi Fuye 1st Street, Huangpu District, Guangzhou, CN
Phone: +8618688407515 Emai.l: ANNE@SKINCAREPKG.COM</t>
    </r>
  </si>
  <si>
    <r>
      <rPr>
        <b/>
        <sz val="18"/>
        <rFont val="宋体"/>
        <charset val="134"/>
      </rPr>
      <t>售</t>
    </r>
    <r>
      <rPr>
        <b/>
        <sz val="18"/>
        <rFont val="Arial"/>
        <charset val="134"/>
      </rPr>
      <t xml:space="preserve"> </t>
    </r>
    <r>
      <rPr>
        <b/>
        <sz val="18"/>
        <rFont val="宋体"/>
        <charset val="134"/>
      </rPr>
      <t>货</t>
    </r>
    <r>
      <rPr>
        <b/>
        <sz val="18"/>
        <rFont val="Arial"/>
        <charset val="134"/>
      </rPr>
      <t xml:space="preserve"> </t>
    </r>
    <r>
      <rPr>
        <b/>
        <sz val="18"/>
        <rFont val="宋体"/>
        <charset val="134"/>
      </rPr>
      <t>合</t>
    </r>
    <r>
      <rPr>
        <b/>
        <sz val="18"/>
        <rFont val="Arial"/>
        <charset val="134"/>
      </rPr>
      <t xml:space="preserve"> </t>
    </r>
    <r>
      <rPr>
        <b/>
        <sz val="18"/>
        <rFont val="宋体"/>
        <charset val="134"/>
      </rPr>
      <t>同</t>
    </r>
  </si>
  <si>
    <t xml:space="preserve">SALES CONTRACT </t>
  </si>
  <si>
    <r>
      <rPr>
        <sz val="10"/>
        <color theme="1"/>
        <rFont val="等线"/>
        <charset val="134"/>
      </rPr>
      <t>下列签字双方同意按以下条款达成交易：</t>
    </r>
  </si>
  <si>
    <r>
      <rPr>
        <sz val="10"/>
        <color theme="1"/>
        <rFont val="Arial"/>
        <charset val="134"/>
      </rPr>
      <t>PI NO</t>
    </r>
    <r>
      <rPr>
        <sz val="10"/>
        <color theme="1"/>
        <rFont val="等线"/>
        <charset val="134"/>
      </rPr>
      <t>：</t>
    </r>
  </si>
  <si>
    <t xml:space="preserve">The undersigned Sellers and Buyers have agreed to close the following transactions </t>
  </si>
  <si>
    <r>
      <rPr>
        <sz val="10"/>
        <rFont val="Arial"/>
        <charset val="134"/>
      </rPr>
      <t>DATE</t>
    </r>
    <r>
      <rPr>
        <sz val="10"/>
        <rFont val="宋体"/>
        <charset val="134"/>
      </rPr>
      <t>：</t>
    </r>
  </si>
  <si>
    <t>according to the terms andconditions stipulated below :</t>
  </si>
  <si>
    <r>
      <rPr>
        <sz val="10"/>
        <rFont val="宋体"/>
        <charset val="134"/>
      </rPr>
      <t>品名及规格</t>
    </r>
    <r>
      <rPr>
        <sz val="10"/>
        <rFont val="Arial"/>
        <charset val="134"/>
      </rPr>
      <t xml:space="preserve">                                                   COMMODITY AND SPECIFICATION</t>
    </r>
  </si>
  <si>
    <r>
      <rPr>
        <sz val="10"/>
        <rFont val="宋体"/>
        <charset val="134"/>
      </rPr>
      <t>数量</t>
    </r>
    <r>
      <rPr>
        <sz val="10"/>
        <rFont val="Arial"/>
        <charset val="134"/>
      </rPr>
      <t xml:space="preserve">                      QUANTITY</t>
    </r>
  </si>
  <si>
    <r>
      <rPr>
        <sz val="10"/>
        <rFont val="宋体"/>
        <charset val="134"/>
      </rPr>
      <t>单位</t>
    </r>
    <r>
      <rPr>
        <sz val="10"/>
        <rFont val="Arial"/>
        <charset val="134"/>
      </rPr>
      <t xml:space="preserve">                   DUAL</t>
    </r>
  </si>
  <si>
    <r>
      <rPr>
        <sz val="10"/>
        <rFont val="宋体"/>
        <charset val="134"/>
      </rPr>
      <t>单价</t>
    </r>
    <r>
      <rPr>
        <sz val="10"/>
        <rFont val="Arial"/>
        <charset val="134"/>
      </rPr>
      <t xml:space="preserve">                                 UNIT PRICE</t>
    </r>
  </si>
  <si>
    <r>
      <rPr>
        <sz val="10"/>
        <rFont val="宋体"/>
        <charset val="134"/>
      </rPr>
      <t>金额</t>
    </r>
    <r>
      <rPr>
        <sz val="10"/>
        <rFont val="Arial"/>
        <charset val="134"/>
      </rPr>
      <t xml:space="preserve">                                             AMOUNT</t>
    </r>
  </si>
  <si>
    <r>
      <rPr>
        <sz val="10"/>
        <rFont val="Arial"/>
        <charset val="134"/>
      </rPr>
      <t>(5)</t>
    </r>
    <r>
      <rPr>
        <sz val="10"/>
        <rFont val="宋体"/>
        <charset val="134"/>
      </rPr>
      <t>装运期限</t>
    </r>
    <r>
      <rPr>
        <sz val="10"/>
        <rFont val="Arial"/>
        <charset val="134"/>
      </rPr>
      <t>:</t>
    </r>
  </si>
  <si>
    <r>
      <rPr>
        <sz val="10"/>
        <rFont val="Arial"/>
        <charset val="134"/>
      </rPr>
      <t>(6)</t>
    </r>
    <r>
      <rPr>
        <sz val="10"/>
        <rFont val="宋体"/>
        <charset val="134"/>
      </rPr>
      <t>装运数量允许有</t>
    </r>
    <r>
      <rPr>
        <sz val="10"/>
        <rFont val="Arial"/>
        <charset val="134"/>
      </rPr>
      <t xml:space="preserve">      %</t>
    </r>
    <r>
      <rPr>
        <sz val="10"/>
        <rFont val="宋体"/>
        <charset val="134"/>
      </rPr>
      <t>在增减</t>
    </r>
  </si>
  <si>
    <t>Shipment:</t>
  </si>
  <si>
    <t>Shipment quantity        % more or less allowed</t>
  </si>
  <si>
    <r>
      <rPr>
        <sz val="10"/>
        <rFont val="Arial"/>
        <charset val="134"/>
      </rPr>
      <t>(7)</t>
    </r>
    <r>
      <rPr>
        <sz val="10"/>
        <rFont val="宋体"/>
        <charset val="134"/>
      </rPr>
      <t>装运口岸</t>
    </r>
    <r>
      <rPr>
        <sz val="10"/>
        <rFont val="Arial"/>
        <charset val="134"/>
      </rPr>
      <t>:</t>
    </r>
  </si>
  <si>
    <r>
      <rPr>
        <sz val="10"/>
        <rFont val="Arial"/>
        <charset val="134"/>
      </rPr>
      <t>(8)</t>
    </r>
    <r>
      <rPr>
        <sz val="10"/>
        <rFont val="宋体"/>
        <charset val="134"/>
      </rPr>
      <t>目的港</t>
    </r>
    <r>
      <rPr>
        <sz val="10"/>
        <rFont val="Arial"/>
        <charset val="134"/>
      </rPr>
      <t xml:space="preserve">: </t>
    </r>
  </si>
  <si>
    <t>Port of loading:</t>
  </si>
  <si>
    <r>
      <rPr>
        <sz val="10"/>
        <rFont val="Arial"/>
        <charset val="134"/>
      </rPr>
      <t>Port of Destination</t>
    </r>
    <r>
      <rPr>
        <sz val="10"/>
        <rFont val="宋体"/>
        <charset val="134"/>
      </rPr>
      <t>：</t>
    </r>
  </si>
  <si>
    <r>
      <rPr>
        <sz val="10"/>
        <rFont val="Arial"/>
        <charset val="134"/>
      </rPr>
      <t>(9)</t>
    </r>
    <r>
      <rPr>
        <sz val="10"/>
        <rFont val="宋体"/>
        <charset val="134"/>
      </rPr>
      <t xml:space="preserve">付款方式 </t>
    </r>
    <r>
      <rPr>
        <sz val="10"/>
        <rFont val="Arial"/>
        <charset val="134"/>
      </rPr>
      <t>PAYMENT</t>
    </r>
    <r>
      <rPr>
        <sz val="10"/>
        <rFont val="Arial"/>
        <charset val="134"/>
      </rPr>
      <t xml:space="preserve">: </t>
    </r>
    <r>
      <rPr>
        <sz val="10"/>
        <rFont val="Microsoft YaHei UI"/>
        <charset val="134"/>
      </rPr>
      <t>在装柜之前开到卖方</t>
    </r>
    <r>
      <rPr>
        <sz val="10"/>
        <rFont val="Arial"/>
        <charset val="134"/>
      </rPr>
      <t>100%</t>
    </r>
    <r>
      <rPr>
        <sz val="10"/>
        <rFont val="Microsoft YaHei UI"/>
        <charset val="134"/>
      </rPr>
      <t>保兑的、不可撤销的、即期付款信用证，须注明装运日期后, 十五天内在中国议付有效，允许转船及分批装运，并注明有关合同号码，议付金额允许有5%的增减。幅度以实际装运数量为准。</t>
    </r>
    <r>
      <rPr>
        <sz val="10"/>
        <rFont val="Arial"/>
        <charset val="134"/>
      </rPr>
      <t xml:space="preserve">
</t>
    </r>
    <r>
      <rPr>
        <sz val="10"/>
        <rFont val="Microsoft YaHei UI"/>
        <charset val="134"/>
      </rPr>
      <t>By 100% confirmed. Irrevocable  L/C  to  be opened to be seller before</t>
    </r>
    <r>
      <rPr>
        <u/>
        <sz val="10"/>
        <rFont val="Microsoft YaHei UI"/>
        <charset val="134"/>
      </rPr>
      <t xml:space="preserve">         </t>
    </r>
    <r>
      <rPr>
        <sz val="10"/>
        <rFont val="Microsoft YaHei UI"/>
        <charset val="134"/>
      </rPr>
      <t xml:space="preserve">and to be </t>
    </r>
    <r>
      <rPr>
        <sz val="10"/>
        <rFont val="Arial"/>
        <charset val="134"/>
      </rPr>
      <t xml:space="preserve">available by sight draft,to remain valid for negotiation in China untill the 15th days after the Date of Shipment,allowing transhipmentand  partial  shipmetns, mentioning the relative contract number and the negotiated amount </t>
    </r>
    <r>
      <rPr>
        <u/>
        <sz val="10"/>
        <rFont val="Arial"/>
        <charset val="134"/>
      </rPr>
      <t xml:space="preserve">             </t>
    </r>
    <r>
      <rPr>
        <sz val="10"/>
        <rFont val="Arial"/>
        <charset val="134"/>
      </rPr>
      <t xml:space="preserve"> %more or less allowable with subject to the actual shipped quanlity.</t>
    </r>
  </si>
  <si>
    <r>
      <rPr>
        <sz val="10"/>
        <rFont val="Arial"/>
        <charset val="134"/>
      </rPr>
      <t>(10)</t>
    </r>
    <r>
      <rPr>
        <sz val="10"/>
        <rFont val="微软雅黑"/>
        <charset val="134"/>
      </rPr>
      <t>保</t>
    </r>
    <r>
      <rPr>
        <sz val="10"/>
        <rFont val="Arial"/>
        <charset val="134"/>
      </rPr>
      <t xml:space="preserve">     </t>
    </r>
    <r>
      <rPr>
        <sz val="10"/>
        <rFont val="微软雅黑"/>
        <charset val="134"/>
      </rPr>
      <t>险</t>
    </r>
    <r>
      <rPr>
        <sz val="10"/>
        <rFont val="Arial"/>
        <charset val="134"/>
      </rPr>
      <t xml:space="preserve">:  </t>
    </r>
    <r>
      <rPr>
        <sz val="10"/>
        <rFont val="Microsoft YaHei UI"/>
        <charset val="134"/>
      </rPr>
      <t>投保</t>
    </r>
    <r>
      <rPr>
        <sz val="10"/>
        <rFont val="Arial"/>
        <charset val="134"/>
      </rPr>
      <t xml:space="preserve">                     </t>
    </r>
    <r>
      <rPr>
        <sz val="10"/>
        <rFont val="Microsoft YaHei UI"/>
        <charset val="134"/>
      </rPr>
      <t>由卖方按发票金额</t>
    </r>
    <r>
      <rPr>
        <sz val="10"/>
        <rFont val="Arial"/>
        <charset val="134"/>
      </rPr>
      <t>110%</t>
    </r>
    <r>
      <rPr>
        <sz val="10"/>
        <rFont val="Microsoft YaHei UI"/>
        <charset val="134"/>
      </rPr>
      <t>投保。</t>
    </r>
  </si>
  <si>
    <t>INSURANCE : Covering           Risks for 110%  of invoice  value to be effected by the Seller.</t>
  </si>
  <si>
    <r>
      <rPr>
        <b/>
        <sz val="10"/>
        <rFont val="宋体"/>
        <charset val="134"/>
      </rPr>
      <t>买方签字</t>
    </r>
  </si>
  <si>
    <r>
      <rPr>
        <b/>
        <sz val="10"/>
        <rFont val="Arial"/>
        <charset val="134"/>
      </rPr>
      <t xml:space="preserve">   </t>
    </r>
    <r>
      <rPr>
        <b/>
        <sz val="10"/>
        <rFont val="宋体"/>
        <charset val="134"/>
      </rPr>
      <t>卖方签字</t>
    </r>
  </si>
  <si>
    <t>The Buyer's Signature</t>
  </si>
  <si>
    <t xml:space="preserve">   The Seller's Signature</t>
  </si>
  <si>
    <t>中华人民共和国海关出口货物报关单</t>
  </si>
  <si>
    <t>预录入编号：                                                  海关编号：                                                                                                                                页码/页数：</t>
  </si>
  <si>
    <t xml:space="preserve">境内发货人
</t>
  </si>
  <si>
    <t xml:space="preserve">出境关别
</t>
  </si>
  <si>
    <t xml:space="preserve">出口日期
</t>
  </si>
  <si>
    <t xml:space="preserve">申报日期
</t>
  </si>
  <si>
    <t xml:space="preserve">备案号
</t>
  </si>
  <si>
    <t xml:space="preserve">境外收货人
</t>
  </si>
  <si>
    <t xml:space="preserve">运输方式
</t>
  </si>
  <si>
    <t xml:space="preserve">运输工具名称及航次号
</t>
  </si>
  <si>
    <t xml:space="preserve">提运单号
</t>
  </si>
  <si>
    <t xml:space="preserve">生产销售单位
</t>
  </si>
  <si>
    <t xml:space="preserve">监管方式
</t>
  </si>
  <si>
    <t xml:space="preserve">征免性质
</t>
  </si>
  <si>
    <t xml:space="preserve">许可证号
</t>
  </si>
  <si>
    <t>一般贸易</t>
  </si>
  <si>
    <t>一般征税</t>
  </si>
  <si>
    <t>合同协议号</t>
  </si>
  <si>
    <t xml:space="preserve">贸易国（地区）
</t>
  </si>
  <si>
    <t xml:space="preserve">运抵国（地区）
</t>
  </si>
  <si>
    <t xml:space="preserve">指运港
</t>
  </si>
  <si>
    <t xml:space="preserve">离境口岸
</t>
  </si>
  <si>
    <t xml:space="preserve">运输包装种类
</t>
  </si>
  <si>
    <t>其他包装种类及对应数量</t>
  </si>
  <si>
    <t xml:space="preserve">件数
</t>
  </si>
  <si>
    <t xml:space="preserve">毛重（千克）
</t>
  </si>
  <si>
    <t xml:space="preserve">净重(千克)
</t>
  </si>
  <si>
    <t xml:space="preserve">成交方式
</t>
  </si>
  <si>
    <t xml:space="preserve">运费                               </t>
  </si>
  <si>
    <t>保费</t>
  </si>
  <si>
    <t xml:space="preserve">杂费
</t>
  </si>
  <si>
    <t>FOB</t>
  </si>
  <si>
    <t xml:space="preserve">随附单证及编号                                                                                                                                                                                                                             
</t>
  </si>
  <si>
    <t xml:space="preserve">标记唛码及备注
</t>
  </si>
  <si>
    <t>集装箱对应商品关系,集装箱货重:</t>
  </si>
  <si>
    <t>项号    商品编号   商品名称及规格型号                            数量及单位                  单价/总价/币制       原产国(地区)          最终目的国（地区）  境内货源地  征免</t>
  </si>
  <si>
    <t>0:品牌类型：0|1:出口享惠情况:0|2:用途：路由器金属配件|3:材质：铝|4:品牌：无|5:规格或型号：无|6:GTIN：无|7:CAS：无</t>
  </si>
  <si>
    <t>TOTAL:</t>
  </si>
  <si>
    <t>报关人员        报关人员证号        电话         兹申明对以上内容承担如实申报、依法纳税之法律责任
申报单位                                        申报单位（签章）</t>
  </si>
  <si>
    <t xml:space="preserve">海关批注及签章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</si>
</sst>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0;\-\$#,##0.0"/>
    <numFmt numFmtId="178" formatCode="\$#,##0;\-\$#,##0"/>
    <numFmt numFmtId="179" formatCode="0.000_ "/>
    <numFmt numFmtId="180" formatCode="&quot;US$&quot;#,##0.000;\-&quot;US$&quot;#,##0.000"/>
    <numFmt numFmtId="181" formatCode="#,##0.0000"/>
    <numFmt numFmtId="182" formatCode="0.00_);[Red]\(0.00\)"/>
    <numFmt numFmtId="183" formatCode="0.00_ "/>
    <numFmt numFmtId="184" formatCode="#,##0.00_ "/>
    <numFmt numFmtId="185" formatCode="#,##0.0_ "/>
    <numFmt numFmtId="186" formatCode="0.0000_ "/>
  </numFmts>
  <fonts count="61">
    <font>
      <sz val="11"/>
      <color theme="1"/>
      <name val="等线"/>
      <charset val="134"/>
      <scheme val="minor"/>
    </font>
    <font>
      <sz val="12"/>
      <color indexed="8"/>
      <name val="楷体"/>
      <charset val="134"/>
    </font>
    <font>
      <sz val="12"/>
      <color theme="1"/>
      <name val="楷体"/>
      <charset val="134"/>
    </font>
    <font>
      <sz val="12"/>
      <color rgb="FFFF0000"/>
      <name val="楷体"/>
      <charset val="134"/>
    </font>
    <font>
      <b/>
      <sz val="14"/>
      <color indexed="8"/>
      <name val="楷体"/>
      <charset val="134"/>
    </font>
    <font>
      <sz val="14"/>
      <color indexed="8"/>
      <name val="楷体"/>
      <charset val="134"/>
    </font>
    <font>
      <b/>
      <sz val="12"/>
      <color rgb="FFFF0000"/>
      <name val="楷体"/>
      <charset val="134"/>
    </font>
    <font>
      <sz val="12"/>
      <name val="楷体"/>
      <charset val="134"/>
    </font>
    <font>
      <sz val="12"/>
      <color indexed="10"/>
      <name val="楷体"/>
      <charset val="134"/>
    </font>
    <font>
      <sz val="12"/>
      <color rgb="FF000000"/>
      <name val="楷体"/>
      <charset val="134"/>
    </font>
    <font>
      <sz val="22"/>
      <name val="Arial"/>
      <charset val="134"/>
    </font>
    <font>
      <sz val="10"/>
      <color theme="1"/>
      <name val="Arial"/>
      <charset val="134"/>
    </font>
    <font>
      <sz val="11"/>
      <color theme="1"/>
      <name val="Arial"/>
      <charset val="134"/>
    </font>
    <font>
      <b/>
      <sz val="18"/>
      <name val="Arial"/>
      <charset val="134"/>
    </font>
    <font>
      <b/>
      <sz val="10"/>
      <name val="Arial"/>
      <charset val="134"/>
    </font>
    <font>
      <sz val="10"/>
      <name val="Arial"/>
      <charset val="134"/>
    </font>
    <font>
      <sz val="10"/>
      <color rgb="FF000000"/>
      <name val="Arial"/>
      <charset val="134"/>
    </font>
    <font>
      <sz val="10"/>
      <name val="宋体"/>
      <charset val="134"/>
    </font>
    <font>
      <sz val="9"/>
      <name val="Arial"/>
      <charset val="134"/>
    </font>
    <font>
      <sz val="10"/>
      <color theme="1"/>
      <name val="等线"/>
      <charset val="134"/>
      <scheme val="minor"/>
    </font>
    <font>
      <b/>
      <sz val="16"/>
      <color rgb="FF000000"/>
      <name val="Arial"/>
      <charset val="134"/>
    </font>
    <font>
      <b/>
      <sz val="10"/>
      <color rgb="FF000000"/>
      <name val="Arial"/>
      <charset val="134"/>
    </font>
    <font>
      <b/>
      <u/>
      <sz val="16"/>
      <name val="Arial"/>
      <charset val="134"/>
    </font>
    <font>
      <b/>
      <sz val="10"/>
      <color theme="1"/>
      <name val="Arial"/>
      <charset val="134"/>
    </font>
    <font>
      <b/>
      <sz val="9"/>
      <name val="Verdana"/>
      <charset val="134"/>
    </font>
    <font>
      <sz val="12"/>
      <name val="Arial"/>
      <charset val="134"/>
    </font>
    <font>
      <b/>
      <sz val="16"/>
      <name val="Arial"/>
      <charset val="134"/>
    </font>
    <font>
      <sz val="16"/>
      <name val="Arial"/>
      <charset val="134"/>
    </font>
    <font>
      <b/>
      <sz val="12"/>
      <name val="Arial"/>
      <charset val="134"/>
    </font>
    <font>
      <b/>
      <sz val="10"/>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Geneva"/>
      <charset val="134"/>
    </font>
    <font>
      <sz val="12"/>
      <name val="宋体"/>
      <charset val="134"/>
    </font>
    <font>
      <sz val="11"/>
      <color indexed="8"/>
      <name val="Calibri"/>
      <charset val="134"/>
    </font>
    <font>
      <b/>
      <sz val="10"/>
      <color theme="1"/>
      <name val="宋体"/>
      <charset val="134"/>
    </font>
    <font>
      <sz val="10"/>
      <name val="微软雅黑"/>
      <charset val="134"/>
    </font>
    <font>
      <sz val="10"/>
      <name val="Microsoft YaHei UI"/>
      <charset val="134"/>
    </font>
    <font>
      <b/>
      <sz val="18"/>
      <name val="宋体"/>
      <charset val="134"/>
    </font>
    <font>
      <b/>
      <sz val="10"/>
      <color rgb="FF000000"/>
      <name val="Microsoft YaHei UI"/>
      <charset val="134"/>
    </font>
    <font>
      <b/>
      <sz val="10"/>
      <name val="宋体"/>
      <charset val="134"/>
    </font>
    <font>
      <sz val="10"/>
      <color theme="1"/>
      <name val="等线"/>
      <charset val="134"/>
    </font>
    <font>
      <u/>
      <sz val="10"/>
      <name val="Microsoft YaHei UI"/>
      <charset val="134"/>
    </font>
    <font>
      <u/>
      <sz val="10"/>
      <name val="Arial"/>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rgb="FF0033CC"/>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3" borderId="16"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7" applyNumberFormat="0" applyFill="0" applyAlignment="0" applyProtection="0">
      <alignment vertical="center"/>
    </xf>
    <xf numFmtId="0" fontId="36" fillId="0" borderId="17" applyNumberFormat="0" applyFill="0" applyAlignment="0" applyProtection="0">
      <alignment vertical="center"/>
    </xf>
    <xf numFmtId="0" fontId="37" fillId="0" borderId="18" applyNumberFormat="0" applyFill="0" applyAlignment="0" applyProtection="0">
      <alignment vertical="center"/>
    </xf>
    <xf numFmtId="0" fontId="37" fillId="0" borderId="0" applyNumberFormat="0" applyFill="0" applyBorder="0" applyAlignment="0" applyProtection="0">
      <alignment vertical="center"/>
    </xf>
    <xf numFmtId="0" fontId="38" fillId="4" borderId="19" applyNumberFormat="0" applyAlignment="0" applyProtection="0">
      <alignment vertical="center"/>
    </xf>
    <xf numFmtId="0" fontId="39" fillId="5" borderId="20" applyNumberFormat="0" applyAlignment="0" applyProtection="0">
      <alignment vertical="center"/>
    </xf>
    <xf numFmtId="0" fontId="40" fillId="5" borderId="19" applyNumberFormat="0" applyAlignment="0" applyProtection="0">
      <alignment vertical="center"/>
    </xf>
    <xf numFmtId="0" fontId="41" fillId="6" borderId="21" applyNumberFormat="0" applyAlignment="0" applyProtection="0">
      <alignment vertical="center"/>
    </xf>
    <xf numFmtId="0" fontId="42" fillId="0" borderId="22" applyNumberFormat="0" applyFill="0" applyAlignment="0" applyProtection="0">
      <alignment vertical="center"/>
    </xf>
    <xf numFmtId="0" fontId="43" fillId="0" borderId="23" applyNumberFormat="0" applyFill="0" applyAlignment="0" applyProtection="0">
      <alignment vertical="center"/>
    </xf>
    <xf numFmtId="0" fontId="44" fillId="7" borderId="0" applyNumberFormat="0" applyBorder="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7" fillId="13" borderId="0" applyNumberFormat="0" applyBorder="0" applyAlignment="0" applyProtection="0">
      <alignment vertical="center"/>
    </xf>
    <xf numFmtId="0" fontId="47" fillId="14"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33" borderId="0" applyNumberFormat="0" applyBorder="0" applyAlignment="0" applyProtection="0">
      <alignment vertical="center"/>
    </xf>
    <xf numFmtId="0" fontId="49" fillId="0" borderId="0"/>
    <xf numFmtId="0" fontId="50" fillId="0" borderId="0"/>
    <xf numFmtId="0" fontId="50" fillId="0" borderId="0"/>
    <xf numFmtId="0" fontId="51" fillId="0" borderId="0"/>
  </cellStyleXfs>
  <cellXfs count="19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1" fillId="0" borderId="0" xfId="0" applyFont="1"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vertical="center"/>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4" xfId="0" applyFont="1" applyBorder="1" applyAlignment="1">
      <alignment horizontal="center" vertical="top" wrapText="1"/>
    </xf>
    <xf numFmtId="0" fontId="2" fillId="0" borderId="0" xfId="0" applyFont="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7" fillId="0" borderId="1" xfId="0" applyFont="1" applyBorder="1" applyAlignment="1">
      <alignment vertical="top" wrapText="1"/>
    </xf>
    <xf numFmtId="0" fontId="7" fillId="0" borderId="2" xfId="0" applyFont="1" applyBorder="1" applyAlignment="1">
      <alignment vertical="top" wrapText="1"/>
    </xf>
    <xf numFmtId="0" fontId="1" fillId="0" borderId="4" xfId="0" applyFont="1" applyBorder="1" applyAlignment="1">
      <alignment vertical="top" wrapText="1"/>
    </xf>
    <xf numFmtId="0" fontId="1" fillId="0" borderId="0" xfId="0" applyFont="1" applyAlignment="1">
      <alignment vertical="top" wrapText="1"/>
    </xf>
    <xf numFmtId="0" fontId="2" fillId="0" borderId="8" xfId="0" applyFont="1" applyBorder="1" applyAlignment="1">
      <alignment horizontal="left" vertical="top" wrapText="1"/>
    </xf>
    <xf numFmtId="17" fontId="3" fillId="0" borderId="2" xfId="0" applyNumberFormat="1" applyFont="1" applyBorder="1" applyAlignment="1">
      <alignment horizontal="left" vertical="top" wrapText="1"/>
    </xf>
    <xf numFmtId="0" fontId="3" fillId="0" borderId="2" xfId="0" applyFont="1" applyBorder="1" applyAlignment="1">
      <alignmen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7" fillId="0" borderId="1" xfId="0" applyFont="1" applyBorder="1" applyAlignment="1">
      <alignment horizontal="center"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9" xfId="0" applyFont="1" applyBorder="1" applyAlignment="1">
      <alignment vertical="center" wrapText="1"/>
    </xf>
    <xf numFmtId="0" fontId="3" fillId="0" borderId="4" xfId="0" applyFont="1" applyBorder="1" applyAlignment="1">
      <alignment horizontal="center" vertical="top" wrapText="1"/>
    </xf>
    <xf numFmtId="0" fontId="8" fillId="0" borderId="4" xfId="0" applyFont="1" applyBorder="1" applyAlignment="1">
      <alignment horizontal="center" vertical="top" wrapText="1"/>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1" fillId="0" borderId="10" xfId="0" applyFont="1" applyBorder="1" applyAlignment="1">
      <alignment vertical="center"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2" xfId="0" applyFont="1" applyBorder="1" applyAlignment="1">
      <alignment horizontal="center" vertical="top" wrapText="1"/>
    </xf>
    <xf numFmtId="0" fontId="1" fillId="0" borderId="13" xfId="0" applyFont="1" applyBorder="1" applyAlignment="1">
      <alignment horizontal="center" vertical="top" wrapText="1"/>
    </xf>
    <xf numFmtId="0" fontId="7" fillId="0" borderId="4" xfId="0" applyFont="1" applyBorder="1" applyAlignment="1">
      <alignment horizontal="left" vertical="top" wrapText="1"/>
    </xf>
    <xf numFmtId="0" fontId="7" fillId="0" borderId="0" xfId="0" applyFont="1" applyAlignment="1">
      <alignment horizontal="left" vertical="top" wrapText="1"/>
    </xf>
    <xf numFmtId="0" fontId="8" fillId="0" borderId="0" xfId="0" applyFont="1" applyAlignment="1">
      <alignment vertical="top" wrapText="1"/>
    </xf>
    <xf numFmtId="0" fontId="8" fillId="0" borderId="8" xfId="0" applyFont="1" applyBorder="1" applyAlignment="1">
      <alignmen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7"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14" xfId="0" applyFont="1" applyBorder="1" applyAlignment="1">
      <alignment horizontal="left" vertical="center"/>
    </xf>
    <xf numFmtId="0" fontId="9" fillId="0" borderId="14" xfId="0" applyFont="1" applyBorder="1" applyAlignment="1">
      <alignment horizontal="center" vertical="center" wrapText="1"/>
    </xf>
    <xf numFmtId="176" fontId="9" fillId="0" borderId="14" xfId="0" applyNumberFormat="1" applyFont="1" applyBorder="1" applyAlignment="1">
      <alignment horizontal="center" vertical="center" wrapText="1"/>
    </xf>
    <xf numFmtId="177" fontId="9" fillId="0" borderId="14" xfId="0" applyNumberFormat="1" applyFont="1" applyBorder="1" applyAlignment="1">
      <alignment horizontal="center" vertical="center" wrapText="1"/>
    </xf>
    <xf numFmtId="178" fontId="9" fillId="0" borderId="14" xfId="0" applyNumberFormat="1" applyFont="1" applyBorder="1" applyAlignment="1">
      <alignment horizontal="center" vertical="center" wrapText="1"/>
    </xf>
    <xf numFmtId="0" fontId="9" fillId="0" borderId="9" xfId="0" applyFont="1" applyBorder="1" applyAlignment="1">
      <alignment horizontal="center" vertical="center" wrapText="1"/>
    </xf>
    <xf numFmtId="176" fontId="9" fillId="0" borderId="9" xfId="0" applyNumberFormat="1" applyFont="1" applyBorder="1" applyAlignment="1">
      <alignment horizontal="center" vertical="center" wrapText="1"/>
    </xf>
    <xf numFmtId="178" fontId="9" fillId="0" borderId="9" xfId="0" applyNumberFormat="1" applyFont="1" applyBorder="1" applyAlignment="1">
      <alignment horizontal="center" vertical="center" wrapText="1"/>
    </xf>
    <xf numFmtId="0" fontId="3" fillId="0" borderId="1" xfId="0" applyFont="1" applyBorder="1" applyAlignment="1">
      <alignment vertical="center"/>
    </xf>
    <xf numFmtId="0" fontId="7" fillId="0" borderId="2" xfId="0" applyFont="1" applyBorder="1" applyAlignment="1">
      <alignment vertical="center"/>
    </xf>
    <xf numFmtId="0" fontId="3" fillId="0" borderId="2" xfId="0" applyFont="1" applyBorder="1" applyAlignment="1">
      <alignment horizontal="center" vertical="center" wrapText="1"/>
    </xf>
    <xf numFmtId="0" fontId="3" fillId="0" borderId="2" xfId="0" applyFont="1" applyBorder="1" applyAlignment="1">
      <alignment vertical="center" wrapText="1"/>
    </xf>
    <xf numFmtId="179" fontId="3" fillId="0" borderId="2" xfId="0" applyNumberFormat="1" applyFont="1" applyBorder="1" applyAlignment="1">
      <alignment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3" fillId="0" borderId="4" xfId="0" applyFont="1" applyBorder="1" applyAlignment="1">
      <alignment vertical="center"/>
    </xf>
    <xf numFmtId="179" fontId="3" fillId="0" borderId="0" xfId="0" applyNumberFormat="1"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xf>
    <xf numFmtId="0" fontId="7" fillId="0" borderId="0" xfId="0" applyFont="1" applyAlignment="1">
      <alignment vertical="center"/>
    </xf>
    <xf numFmtId="0" fontId="3" fillId="0" borderId="5" xfId="0" applyFont="1" applyBorder="1" applyAlignment="1">
      <alignment vertical="center"/>
    </xf>
    <xf numFmtId="0" fontId="7" fillId="0" borderId="6" xfId="0" applyFont="1" applyBorder="1" applyAlignment="1">
      <alignment vertical="center"/>
    </xf>
    <xf numFmtId="0" fontId="3" fillId="0" borderId="6" xfId="0" applyFont="1" applyBorder="1" applyAlignment="1">
      <alignment horizontal="center" vertical="center" wrapText="1"/>
    </xf>
    <xf numFmtId="0" fontId="3" fillId="0" borderId="6" xfId="0" applyFont="1" applyBorder="1" applyAlignment="1">
      <alignment vertical="center" wrapText="1"/>
    </xf>
    <xf numFmtId="179" fontId="3" fillId="0" borderId="6" xfId="0" applyNumberFormat="1" applyFont="1" applyBorder="1" applyAlignment="1">
      <alignment vertical="center"/>
    </xf>
    <xf numFmtId="0" fontId="3" fillId="0" borderId="7" xfId="0" applyFont="1" applyBorder="1" applyAlignment="1">
      <alignment horizontal="center" vertical="center" wrapText="1"/>
    </xf>
    <xf numFmtId="0" fontId="1" fillId="0" borderId="5" xfId="0" applyFont="1" applyBorder="1" applyAlignment="1">
      <alignment vertical="center"/>
    </xf>
    <xf numFmtId="0" fontId="1" fillId="0" borderId="6" xfId="0" applyFont="1" applyBorder="1" applyAlignment="1">
      <alignment horizontal="center" vertical="center" wrapText="1"/>
    </xf>
    <xf numFmtId="178" fontId="9" fillId="0" borderId="6" xfId="0" applyNumberFormat="1" applyFont="1" applyBorder="1" applyAlignment="1">
      <alignment horizontal="center" vertical="center" wrapText="1"/>
    </xf>
    <xf numFmtId="177" fontId="9" fillId="0" borderId="6" xfId="0" applyNumberFormat="1" applyFont="1" applyBorder="1" applyAlignment="1">
      <alignment horizontal="center" vertical="center" wrapText="1"/>
    </xf>
    <xf numFmtId="0" fontId="1" fillId="0" borderId="6" xfId="0" applyFont="1" applyBorder="1" applyAlignment="1">
      <alignment vertical="center" wrapText="1"/>
    </xf>
    <xf numFmtId="0" fontId="1" fillId="0" borderId="7" xfId="0" applyFont="1" applyBorder="1" applyAlignment="1">
      <alignment horizontal="center" vertical="center" wrapText="1"/>
    </xf>
    <xf numFmtId="0" fontId="1" fillId="0" borderId="1" xfId="0" applyFont="1" applyBorder="1" applyAlignment="1">
      <alignment horizontal="left" vertical="justify" wrapText="1"/>
    </xf>
    <xf numFmtId="0" fontId="1" fillId="0" borderId="2" xfId="0" applyFont="1" applyBorder="1" applyAlignment="1">
      <alignment horizontal="left" vertical="justify" wrapText="1"/>
    </xf>
    <xf numFmtId="0" fontId="1" fillId="0" borderId="3" xfId="0" applyFont="1" applyBorder="1" applyAlignment="1">
      <alignment horizontal="left" vertical="justify"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5" xfId="0" applyFont="1" applyBorder="1" applyAlignment="1">
      <alignment horizontal="left" vertical="justify" wrapText="1"/>
    </xf>
    <xf numFmtId="0" fontId="1" fillId="0" borderId="6" xfId="0" applyFont="1" applyBorder="1" applyAlignment="1">
      <alignment horizontal="left" vertical="justify" wrapText="1"/>
    </xf>
    <xf numFmtId="0" fontId="1" fillId="0" borderId="7" xfId="0" applyFont="1" applyBorder="1" applyAlignment="1">
      <alignment horizontal="left" vertical="justify"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0" fillId="0" borderId="0" xfId="0" applyFont="1" applyAlignment="1">
      <alignment vertical="center"/>
    </xf>
    <xf numFmtId="0" fontId="11" fillId="0" borderId="0" xfId="0" applyFont="1" applyAlignment="1">
      <alignment vertical="center"/>
    </xf>
    <xf numFmtId="0" fontId="12" fillId="0" borderId="0" xfId="0" applyFont="1" applyProtection="1">
      <protection locked="0"/>
    </xf>
    <xf numFmtId="0" fontId="12" fillId="0" borderId="0" xfId="0" applyFont="1" applyAlignment="1" applyProtection="1">
      <alignment horizontal="center"/>
      <protection locked="0"/>
    </xf>
    <xf numFmtId="0" fontId="12" fillId="0" borderId="0" xfId="0" applyFont="1"/>
    <xf numFmtId="0" fontId="12" fillId="0" borderId="0" xfId="0" applyFont="1" applyAlignment="1">
      <alignment vertical="center"/>
    </xf>
    <xf numFmtId="0" fontId="13" fillId="0" borderId="0" xfId="0" applyFont="1" applyAlignment="1" applyProtection="1">
      <alignment horizontal="center" vertical="center" wrapText="1"/>
      <protection locked="0"/>
    </xf>
    <xf numFmtId="0" fontId="13" fillId="0" borderId="0" xfId="0" applyFont="1" applyAlignment="1">
      <alignment horizontal="center" vertical="center"/>
    </xf>
    <xf numFmtId="0" fontId="14" fillId="0" borderId="0" xfId="0" applyFont="1" applyAlignment="1" applyProtection="1">
      <alignment horizontal="left" vertical="center"/>
      <protection locked="0"/>
    </xf>
    <xf numFmtId="0" fontId="14" fillId="0" borderId="0" xfId="0" applyFont="1" applyAlignment="1">
      <alignment horizontal="left" vertical="center"/>
    </xf>
    <xf numFmtId="0" fontId="13" fillId="0" borderId="0" xfId="0" applyFont="1" applyAlignment="1">
      <alignment horizontal="center"/>
    </xf>
    <xf numFmtId="0" fontId="10" fillId="0" borderId="0" xfId="0" applyFont="1"/>
    <xf numFmtId="0" fontId="11" fillId="0" borderId="0" xfId="0" applyFont="1"/>
    <xf numFmtId="0" fontId="11" fillId="0" borderId="0" xfId="0" applyFont="1" applyAlignment="1">
      <alignment horizontal="left"/>
    </xf>
    <xf numFmtId="0" fontId="15" fillId="0" borderId="0" xfId="0" applyFont="1"/>
    <xf numFmtId="14" fontId="11" fillId="0" borderId="0" xfId="0" applyNumberFormat="1" applyFont="1" applyAlignment="1">
      <alignment horizontal="left"/>
    </xf>
    <xf numFmtId="0" fontId="15" fillId="0" borderId="14"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0" xfId="0" applyFont="1" applyAlignment="1">
      <alignment vertical="center" wrapText="1"/>
    </xf>
    <xf numFmtId="0" fontId="15" fillId="0" borderId="14" xfId="51" applyFont="1" applyBorder="1" applyAlignment="1" applyProtection="1">
      <alignment horizontal="left" vertical="center"/>
      <protection hidden="1"/>
    </xf>
    <xf numFmtId="0" fontId="15" fillId="0" borderId="14" xfId="51" applyFont="1" applyBorder="1" applyAlignment="1" applyProtection="1">
      <alignment horizontal="center" vertical="center"/>
      <protection hidden="1"/>
    </xf>
    <xf numFmtId="176" fontId="16" fillId="0" borderId="14" xfId="0" applyNumberFormat="1" applyFont="1" applyBorder="1" applyAlignment="1">
      <alignment horizontal="center" vertical="center" wrapText="1"/>
    </xf>
    <xf numFmtId="177" fontId="15" fillId="0" borderId="14" xfId="0" applyNumberFormat="1" applyFont="1" applyBorder="1" applyAlignment="1">
      <alignment horizontal="center" vertical="center" wrapText="1"/>
    </xf>
    <xf numFmtId="0" fontId="15" fillId="0" borderId="14" xfId="51" applyFont="1" applyBorder="1" applyAlignment="1" applyProtection="1">
      <alignment vertical="center"/>
      <protection hidden="1"/>
    </xf>
    <xf numFmtId="178" fontId="15" fillId="0" borderId="14" xfId="0" applyNumberFormat="1" applyFont="1" applyBorder="1" applyAlignment="1">
      <alignment horizontal="center" vertical="center" wrapText="1"/>
    </xf>
    <xf numFmtId="180" fontId="15" fillId="0" borderId="14" xfId="0" applyNumberFormat="1" applyFont="1" applyBorder="1" applyAlignment="1" applyProtection="1">
      <alignment horizontal="center"/>
      <protection locked="0"/>
    </xf>
    <xf numFmtId="177" fontId="15" fillId="0" borderId="14" xfId="0" applyNumberFormat="1" applyFont="1" applyBorder="1" applyAlignment="1">
      <alignment horizontal="center" vertical="top" wrapText="1"/>
    </xf>
    <xf numFmtId="0" fontId="15" fillId="0" borderId="0" xfId="0" applyFont="1" applyAlignment="1">
      <alignment horizontal="left"/>
    </xf>
    <xf numFmtId="49" fontId="15" fillId="0" borderId="0" xfId="0" applyNumberFormat="1" applyFont="1"/>
    <xf numFmtId="0" fontId="15" fillId="0" borderId="0" xfId="0" applyFont="1" applyAlignment="1">
      <alignment horizontal="left" wrapText="1"/>
    </xf>
    <xf numFmtId="0" fontId="11" fillId="0" borderId="0" xfId="0" applyFont="1" applyAlignment="1" applyProtection="1">
      <alignment horizontal="center"/>
      <protection locked="0"/>
    </xf>
    <xf numFmtId="0" fontId="11" fillId="0" borderId="0" xfId="0" applyFont="1" applyProtection="1">
      <protection locked="0"/>
    </xf>
    <xf numFmtId="0" fontId="14" fillId="0" borderId="0" xfId="0" applyFont="1"/>
    <xf numFmtId="0" fontId="14" fillId="0" borderId="0" xfId="0" applyFont="1" applyAlignment="1">
      <alignment horizontal="left"/>
    </xf>
    <xf numFmtId="0" fontId="17" fillId="0" borderId="0" xfId="0" applyFont="1" applyAlignment="1">
      <alignment horizontal="left"/>
    </xf>
    <xf numFmtId="0" fontId="15" fillId="0" borderId="0" xfId="0" applyFont="1" applyAlignment="1">
      <alignment horizontal="right"/>
    </xf>
    <xf numFmtId="0" fontId="18" fillId="0" borderId="0" xfId="0" applyFont="1"/>
    <xf numFmtId="0" fontId="18" fillId="0" borderId="0" xfId="0" applyFont="1" applyAlignment="1">
      <alignment horizontal="left"/>
    </xf>
    <xf numFmtId="0" fontId="19" fillId="0" borderId="0" xfId="0" applyFont="1"/>
    <xf numFmtId="49" fontId="20" fillId="0" borderId="0" xfId="0" applyNumberFormat="1" applyFont="1" applyAlignment="1">
      <alignment horizontal="center" vertical="center" wrapText="1"/>
    </xf>
    <xf numFmtId="49" fontId="21" fillId="0" borderId="0" xfId="0" applyNumberFormat="1" applyFont="1" applyAlignment="1">
      <alignment horizontal="center" vertical="center" wrapText="1"/>
    </xf>
    <xf numFmtId="49" fontId="22" fillId="0" borderId="0" xfId="0" applyNumberFormat="1" applyFont="1" applyAlignment="1">
      <alignment horizontal="center" vertical="center" wrapText="1"/>
    </xf>
    <xf numFmtId="49" fontId="14" fillId="0" borderId="0" xfId="0" applyNumberFormat="1" applyFont="1" applyAlignment="1">
      <alignment horizontal="center" vertical="center" wrapText="1"/>
    </xf>
    <xf numFmtId="49" fontId="15" fillId="0" borderId="0" xfId="0" applyNumberFormat="1" applyFont="1" applyAlignment="1">
      <alignment horizontal="left" vertical="center" wrapText="1"/>
    </xf>
    <xf numFmtId="49" fontId="14" fillId="0" borderId="0" xfId="0" applyNumberFormat="1" applyFont="1" applyAlignment="1">
      <alignment horizontal="left" vertical="center" wrapText="1"/>
    </xf>
    <xf numFmtId="49" fontId="15" fillId="0" borderId="6" xfId="0" applyNumberFormat="1" applyFont="1" applyBorder="1" applyAlignment="1">
      <alignment horizontal="left" vertical="center" wrapText="1"/>
    </xf>
    <xf numFmtId="49" fontId="15" fillId="0" borderId="6" xfId="0" applyNumberFormat="1" applyFont="1" applyBorder="1" applyAlignment="1">
      <alignment vertical="center" wrapText="1"/>
    </xf>
    <xf numFmtId="49" fontId="17" fillId="0" borderId="0" xfId="0" applyNumberFormat="1" applyFont="1" applyAlignment="1">
      <alignment horizontal="left" vertical="center" wrapText="1"/>
    </xf>
    <xf numFmtId="0" fontId="23" fillId="2" borderId="14"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13" xfId="0" applyFont="1" applyFill="1" applyBorder="1" applyAlignment="1">
      <alignment horizontal="center" vertical="center" wrapText="1"/>
    </xf>
    <xf numFmtId="0" fontId="11" fillId="2" borderId="0" xfId="0" applyFont="1" applyFill="1" applyAlignment="1">
      <alignment horizontal="center" vertical="center" wrapText="1"/>
    </xf>
    <xf numFmtId="181" fontId="23" fillId="2" borderId="14" xfId="0" applyNumberFormat="1"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5" fillId="0" borderId="14" xfId="0" applyFont="1" applyBorder="1"/>
    <xf numFmtId="3" fontId="15" fillId="2" borderId="14" xfId="0" applyNumberFormat="1" applyFont="1" applyFill="1" applyBorder="1" applyAlignment="1">
      <alignment horizontal="center" vertical="center" wrapText="1"/>
    </xf>
    <xf numFmtId="2" fontId="15" fillId="2" borderId="14" xfId="0" applyNumberFormat="1" applyFont="1" applyFill="1" applyBorder="1" applyAlignment="1">
      <alignment horizontal="center" vertical="center" wrapText="1"/>
    </xf>
    <xf numFmtId="181" fontId="11" fillId="2" borderId="14" xfId="0" applyNumberFormat="1" applyFont="1" applyFill="1" applyBorder="1" applyAlignment="1">
      <alignment horizontal="center" vertical="center" wrapText="1"/>
    </xf>
    <xf numFmtId="182" fontId="11" fillId="2" borderId="14" xfId="0" applyNumberFormat="1" applyFont="1" applyFill="1" applyBorder="1" applyAlignment="1">
      <alignment horizontal="center" vertical="center" wrapText="1"/>
    </xf>
    <xf numFmtId="3" fontId="11" fillId="2" borderId="14" xfId="0" applyNumberFormat="1" applyFont="1" applyFill="1" applyBorder="1" applyAlignment="1">
      <alignment horizontal="center" vertical="center" wrapText="1"/>
    </xf>
    <xf numFmtId="183" fontId="11" fillId="2" borderId="14" xfId="0" applyNumberFormat="1" applyFont="1" applyFill="1" applyBorder="1" applyAlignment="1">
      <alignment horizontal="center" vertical="center" wrapText="1"/>
    </xf>
    <xf numFmtId="0" fontId="15" fillId="0" borderId="14" xfId="0" applyFont="1" applyBorder="1" applyAlignment="1">
      <alignment wrapText="1"/>
    </xf>
    <xf numFmtId="0" fontId="23" fillId="2" borderId="14" xfId="0" applyFont="1" applyFill="1" applyBorder="1" applyAlignment="1">
      <alignment horizontal="right" vertical="center" wrapText="1"/>
    </xf>
    <xf numFmtId="184" fontId="11" fillId="2" borderId="14" xfId="0" applyNumberFormat="1" applyFont="1" applyFill="1" applyBorder="1" applyAlignment="1">
      <alignment horizontal="center" vertical="center" wrapText="1"/>
    </xf>
    <xf numFmtId="185" fontId="11" fillId="2" borderId="14" xfId="0" applyNumberFormat="1" applyFont="1" applyFill="1" applyBorder="1" applyAlignment="1">
      <alignment horizontal="center" vertical="center" wrapText="1"/>
    </xf>
    <xf numFmtId="0" fontId="24" fillId="2" borderId="15" xfId="52" applyFont="1" applyFill="1" applyBorder="1" applyAlignment="1">
      <alignment horizontal="left"/>
    </xf>
    <xf numFmtId="0" fontId="15" fillId="0" borderId="0" xfId="0" applyFont="1" applyAlignment="1">
      <alignment horizontal="center"/>
    </xf>
    <xf numFmtId="0" fontId="25" fillId="0" borderId="0" xfId="0" applyFont="1"/>
    <xf numFmtId="0" fontId="25" fillId="0" borderId="0" xfId="0" applyFont="1" applyAlignment="1">
      <alignment horizontal="center"/>
    </xf>
    <xf numFmtId="49" fontId="26" fillId="0" borderId="0" xfId="0" applyNumberFormat="1" applyFont="1" applyAlignment="1">
      <alignment horizontal="center" vertical="center" wrapText="1"/>
    </xf>
    <xf numFmtId="49" fontId="15" fillId="0" borderId="0" xfId="0" applyNumberFormat="1" applyFont="1" applyAlignment="1">
      <alignment horizontal="center" vertical="center" wrapText="1"/>
    </xf>
    <xf numFmtId="0" fontId="27" fillId="0" borderId="0" xfId="0" applyFont="1"/>
    <xf numFmtId="0" fontId="27" fillId="0" borderId="0" xfId="0" applyFont="1" applyAlignment="1">
      <alignment horizontal="center"/>
    </xf>
    <xf numFmtId="49" fontId="28" fillId="0" borderId="0" xfId="0" applyNumberFormat="1" applyFont="1" applyAlignment="1">
      <alignment horizontal="right" vertical="top" wrapText="1"/>
    </xf>
    <xf numFmtId="49" fontId="15" fillId="0" borderId="6" xfId="0" applyNumberFormat="1" applyFont="1" applyBorder="1" applyAlignment="1">
      <alignment horizontal="left" vertical="top" wrapText="1"/>
    </xf>
    <xf numFmtId="49" fontId="15" fillId="0" borderId="6" xfId="0" applyNumberFormat="1" applyFont="1" applyBorder="1" applyAlignment="1">
      <alignment horizontal="center" vertical="top" wrapText="1"/>
    </xf>
    <xf numFmtId="49" fontId="25" fillId="0" borderId="0" xfId="0" applyNumberFormat="1" applyFont="1" applyAlignment="1">
      <alignment vertical="top" wrapText="1"/>
    </xf>
    <xf numFmtId="49" fontId="14" fillId="0" borderId="14" xfId="0" applyNumberFormat="1" applyFont="1" applyBorder="1" applyAlignment="1">
      <alignment horizontal="center" vertical="center" wrapText="1"/>
    </xf>
    <xf numFmtId="49" fontId="29" fillId="0" borderId="14" xfId="0" applyNumberFormat="1" applyFont="1" applyBorder="1" applyAlignment="1">
      <alignment horizontal="center" vertical="center" wrapText="1"/>
    </xf>
    <xf numFmtId="183" fontId="25" fillId="0" borderId="1" xfId="0" applyNumberFormat="1" applyFont="1" applyBorder="1" applyAlignment="1">
      <alignment horizontal="center" vertical="center"/>
    </xf>
    <xf numFmtId="183" fontId="25" fillId="0" borderId="2" xfId="0" applyNumberFormat="1" applyFont="1" applyBorder="1" applyAlignment="1">
      <alignment horizontal="center" vertical="center"/>
    </xf>
    <xf numFmtId="183" fontId="25" fillId="0" borderId="3" xfId="0" applyNumberFormat="1" applyFont="1" applyBorder="1" applyAlignment="1">
      <alignment horizontal="center" vertical="center"/>
    </xf>
    <xf numFmtId="0" fontId="25" fillId="0" borderId="14" xfId="0" applyFont="1" applyBorder="1"/>
    <xf numFmtId="0" fontId="25" fillId="0" borderId="14" xfId="0" applyFont="1" applyBorder="1" applyAlignment="1">
      <alignment horizontal="center"/>
    </xf>
    <xf numFmtId="186" fontId="25" fillId="0" borderId="14" xfId="0" applyNumberFormat="1" applyFont="1" applyBorder="1" applyAlignment="1">
      <alignment horizontal="center" vertical="center"/>
    </xf>
    <xf numFmtId="183" fontId="25" fillId="0" borderId="14" xfId="0" applyNumberFormat="1" applyFont="1" applyBorder="1" applyAlignment="1">
      <alignment horizontal="center"/>
    </xf>
    <xf numFmtId="183" fontId="25" fillId="0" borderId="4" xfId="0" applyNumberFormat="1" applyFont="1" applyBorder="1" applyAlignment="1">
      <alignment horizontal="center" vertical="center"/>
    </xf>
    <xf numFmtId="183" fontId="25" fillId="0" borderId="0" xfId="0" applyNumberFormat="1" applyFont="1" applyAlignment="1">
      <alignment horizontal="center" vertical="center"/>
    </xf>
    <xf numFmtId="183" fontId="25" fillId="0" borderId="8" xfId="0" applyNumberFormat="1" applyFont="1" applyBorder="1" applyAlignment="1">
      <alignment horizontal="center" vertical="center"/>
    </xf>
    <xf numFmtId="0" fontId="25" fillId="0" borderId="14" xfId="0" applyFont="1" applyBorder="1" applyAlignment="1">
      <alignment wrapText="1"/>
    </xf>
    <xf numFmtId="183" fontId="25" fillId="0" borderId="5" xfId="0" applyNumberFormat="1" applyFont="1" applyBorder="1" applyAlignment="1">
      <alignment horizontal="center" vertical="center"/>
    </xf>
    <xf numFmtId="183" fontId="25" fillId="0" borderId="6" xfId="0" applyNumberFormat="1" applyFont="1" applyBorder="1" applyAlignment="1">
      <alignment horizontal="center" vertical="center"/>
    </xf>
    <xf numFmtId="183" fontId="25" fillId="0" borderId="7" xfId="0" applyNumberFormat="1" applyFont="1" applyBorder="1" applyAlignment="1">
      <alignment horizontal="center" vertical="center"/>
    </xf>
    <xf numFmtId="0" fontId="25" fillId="0" borderId="11" xfId="0" applyFont="1" applyBorder="1" applyAlignment="1">
      <alignment horizontal="center"/>
    </xf>
    <xf numFmtId="0" fontId="25" fillId="0" borderId="12" xfId="0" applyFont="1" applyBorder="1" applyAlignment="1">
      <alignment horizontal="center"/>
    </xf>
    <xf numFmtId="0" fontId="25" fillId="0" borderId="13" xfId="0" applyFont="1" applyBorder="1" applyAlignment="1">
      <alignment horizont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常规 2" xfId="50"/>
    <cellStyle name="常规_Sheet1" xfId="51"/>
    <cellStyle name="常规_GP QUOTATION150129 FOR VERTICAL LIM"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361950</xdr:colOff>
      <xdr:row>21</xdr:row>
      <xdr:rowOff>171450</xdr:rowOff>
    </xdr:from>
    <xdr:to>
      <xdr:col>4</xdr:col>
      <xdr:colOff>552450</xdr:colOff>
      <xdr:row>32</xdr:row>
      <xdr:rowOff>28575</xdr:rowOff>
    </xdr:to>
    <xdr:pic>
      <xdr:nvPicPr>
        <xdr:cNvPr id="4" name="图片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553710" y="5572125"/>
          <a:ext cx="148082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5253;&#20851;&#27169;&#2649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6&#24037;&#20316;&#25991;&#20214;\1&#24037;&#20316;&#25991;&#20214;\1&#23458;&#25143;&#36164;&#26009;%20AC%20PKG\1&#25104;&#20132;&#23458;&#25143;\&#21360;&#24230;rattan@miduty.in\&#22823;&#36135;\20250917%20&#36719;&#31649;+PET&#29942;\&#22823;&#36135;\&#25253;&#20851;&#28165;&#20851;&#25991;&#20214;\&#31354;&#36816;\Custom%20clearance-PI25072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输入表格"/>
      <sheetName val="报关单"/>
      <sheetName val="发票"/>
      <sheetName val="装箱单"/>
      <sheetName val="合同"/>
    </sheetNames>
    <sheetDataSet>
      <sheetData sheetId="0">
        <row r="9">
          <cell r="F9" t="str">
            <v>纸箱</v>
          </cell>
        </row>
        <row r="11">
          <cell r="B11" t="str">
            <v>宁波奉化广翰进出口有限公司91330283MABPU9X91B</v>
          </cell>
        </row>
        <row r="14">
          <cell r="B14" t="str">
            <v>宁波奉化广翰进出口有限公司91330283MABPU9X91B</v>
          </cell>
        </row>
        <row r="28">
          <cell r="B28" t="str">
            <v>进仓编号：</v>
          </cell>
        </row>
        <row r="29">
          <cell r="B29" t="str">
            <v>航空运输</v>
          </cell>
        </row>
        <row r="30">
          <cell r="B30" t="str">
            <v>N/M</v>
          </cell>
        </row>
      </sheetData>
      <sheetData sheetId="1"/>
      <sheetData sheetId="2"/>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voice"/>
      <sheetName val="Packing list"/>
    </sheetNames>
    <sheetDataSet>
      <sheetData sheetId="0"/>
      <sheetData sheetId="1">
        <row r="8">
          <cell r="B8" t="str">
            <v>Plastic bottle
塑料瓶</v>
          </cell>
        </row>
        <row r="10">
          <cell r="B10" t="str">
            <v>Plastic cover 
塑料外盖</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4" workbookViewId="0">
      <selection activeCell="D8" sqref="D8"/>
    </sheetView>
  </sheetViews>
  <sheetFormatPr defaultColWidth="9" defaultRowHeight="15"/>
  <cols>
    <col min="1" max="1" width="5.6" style="169" customWidth="1"/>
    <col min="2" max="2" width="10.8" style="169" customWidth="1"/>
    <col min="3" max="3" width="10" style="169" customWidth="1"/>
    <col min="4" max="4" width="23.625" style="169" customWidth="1"/>
    <col min="5" max="5" width="13.2666666666667" style="170" customWidth="1"/>
    <col min="6" max="6" width="13.2666666666667" style="169" customWidth="1"/>
    <col min="7" max="7" width="17.6666666666667" style="169" customWidth="1"/>
    <col min="8" max="8" width="19.6" style="169" customWidth="1"/>
    <col min="9" max="9" width="9.06666666666667" style="169"/>
    <col min="10" max="10" width="14.125" style="169"/>
    <col min="11" max="252" width="9.06666666666667" style="169"/>
    <col min="253" max="253" width="5.6" style="169" customWidth="1"/>
    <col min="254" max="254" width="10.8" style="169" customWidth="1"/>
    <col min="255" max="255" width="10" style="169" customWidth="1"/>
    <col min="256" max="256" width="8.46666666666667" style="169" customWidth="1"/>
    <col min="257" max="257" width="7.8" style="169" customWidth="1"/>
    <col min="258" max="258" width="6.53333333333333" style="169" customWidth="1"/>
    <col min="259" max="259" width="5.8" style="169" customWidth="1"/>
    <col min="260" max="260" width="3.13333333333333" style="169" customWidth="1"/>
    <col min="261" max="261" width="7.8" style="169" customWidth="1"/>
    <col min="262" max="262" width="9.66666666666667" style="169" customWidth="1"/>
    <col min="263" max="263" width="10" style="169" customWidth="1"/>
    <col min="264" max="264" width="14.0666666666667" style="169" customWidth="1"/>
    <col min="265" max="508" width="9.06666666666667" style="169"/>
    <col min="509" max="509" width="5.6" style="169" customWidth="1"/>
    <col min="510" max="510" width="10.8" style="169" customWidth="1"/>
    <col min="511" max="511" width="10" style="169" customWidth="1"/>
    <col min="512" max="512" width="8.46666666666667" style="169" customWidth="1"/>
    <col min="513" max="513" width="7.8" style="169" customWidth="1"/>
    <col min="514" max="514" width="6.53333333333333" style="169" customWidth="1"/>
    <col min="515" max="515" width="5.8" style="169" customWidth="1"/>
    <col min="516" max="516" width="3.13333333333333" style="169" customWidth="1"/>
    <col min="517" max="517" width="7.8" style="169" customWidth="1"/>
    <col min="518" max="518" width="9.66666666666667" style="169" customWidth="1"/>
    <col min="519" max="519" width="10" style="169" customWidth="1"/>
    <col min="520" max="520" width="14.0666666666667" style="169" customWidth="1"/>
    <col min="521" max="764" width="9.06666666666667" style="169"/>
    <col min="765" max="765" width="5.6" style="169" customWidth="1"/>
    <col min="766" max="766" width="10.8" style="169" customWidth="1"/>
    <col min="767" max="767" width="10" style="169" customWidth="1"/>
    <col min="768" max="768" width="8.46666666666667" style="169" customWidth="1"/>
    <col min="769" max="769" width="7.8" style="169" customWidth="1"/>
    <col min="770" max="770" width="6.53333333333333" style="169" customWidth="1"/>
    <col min="771" max="771" width="5.8" style="169" customWidth="1"/>
    <col min="772" max="772" width="3.13333333333333" style="169" customWidth="1"/>
    <col min="773" max="773" width="7.8" style="169" customWidth="1"/>
    <col min="774" max="774" width="9.66666666666667" style="169" customWidth="1"/>
    <col min="775" max="775" width="10" style="169" customWidth="1"/>
    <col min="776" max="776" width="14.0666666666667" style="169" customWidth="1"/>
    <col min="777" max="1020" width="9.06666666666667" style="169"/>
    <col min="1021" max="1021" width="5.6" style="169" customWidth="1"/>
    <col min="1022" max="1022" width="10.8" style="169" customWidth="1"/>
    <col min="1023" max="1023" width="10" style="169" customWidth="1"/>
    <col min="1024" max="1024" width="8.46666666666667" style="169" customWidth="1"/>
    <col min="1025" max="1025" width="7.8" style="169" customWidth="1"/>
    <col min="1026" max="1026" width="6.53333333333333" style="169" customWidth="1"/>
    <col min="1027" max="1027" width="5.8" style="169" customWidth="1"/>
    <col min="1028" max="1028" width="3.13333333333333" style="169" customWidth="1"/>
    <col min="1029" max="1029" width="7.8" style="169" customWidth="1"/>
    <col min="1030" max="1030" width="9.66666666666667" style="169" customWidth="1"/>
    <col min="1031" max="1031" width="10" style="169" customWidth="1"/>
    <col min="1032" max="1032" width="14.0666666666667" style="169" customWidth="1"/>
    <col min="1033" max="1276" width="9.06666666666667" style="169"/>
    <col min="1277" max="1277" width="5.6" style="169" customWidth="1"/>
    <col min="1278" max="1278" width="10.8" style="169" customWidth="1"/>
    <col min="1279" max="1279" width="10" style="169" customWidth="1"/>
    <col min="1280" max="1280" width="8.46666666666667" style="169" customWidth="1"/>
    <col min="1281" max="1281" width="7.8" style="169" customWidth="1"/>
    <col min="1282" max="1282" width="6.53333333333333" style="169" customWidth="1"/>
    <col min="1283" max="1283" width="5.8" style="169" customWidth="1"/>
    <col min="1284" max="1284" width="3.13333333333333" style="169" customWidth="1"/>
    <col min="1285" max="1285" width="7.8" style="169" customWidth="1"/>
    <col min="1286" max="1286" width="9.66666666666667" style="169" customWidth="1"/>
    <col min="1287" max="1287" width="10" style="169" customWidth="1"/>
    <col min="1288" max="1288" width="14.0666666666667" style="169" customWidth="1"/>
    <col min="1289" max="1532" width="9.06666666666667" style="169"/>
    <col min="1533" max="1533" width="5.6" style="169" customWidth="1"/>
    <col min="1534" max="1534" width="10.8" style="169" customWidth="1"/>
    <col min="1535" max="1535" width="10" style="169" customWidth="1"/>
    <col min="1536" max="1536" width="8.46666666666667" style="169" customWidth="1"/>
    <col min="1537" max="1537" width="7.8" style="169" customWidth="1"/>
    <col min="1538" max="1538" width="6.53333333333333" style="169" customWidth="1"/>
    <col min="1539" max="1539" width="5.8" style="169" customWidth="1"/>
    <col min="1540" max="1540" width="3.13333333333333" style="169" customWidth="1"/>
    <col min="1541" max="1541" width="7.8" style="169" customWidth="1"/>
    <col min="1542" max="1542" width="9.66666666666667" style="169" customWidth="1"/>
    <col min="1543" max="1543" width="10" style="169" customWidth="1"/>
    <col min="1544" max="1544" width="14.0666666666667" style="169" customWidth="1"/>
    <col min="1545" max="1788" width="9.06666666666667" style="169"/>
    <col min="1789" max="1789" width="5.6" style="169" customWidth="1"/>
    <col min="1790" max="1790" width="10.8" style="169" customWidth="1"/>
    <col min="1791" max="1791" width="10" style="169" customWidth="1"/>
    <col min="1792" max="1792" width="8.46666666666667" style="169" customWidth="1"/>
    <col min="1793" max="1793" width="7.8" style="169" customWidth="1"/>
    <col min="1794" max="1794" width="6.53333333333333" style="169" customWidth="1"/>
    <col min="1795" max="1795" width="5.8" style="169" customWidth="1"/>
    <col min="1796" max="1796" width="3.13333333333333" style="169" customWidth="1"/>
    <col min="1797" max="1797" width="7.8" style="169" customWidth="1"/>
    <col min="1798" max="1798" width="9.66666666666667" style="169" customWidth="1"/>
    <col min="1799" max="1799" width="10" style="169" customWidth="1"/>
    <col min="1800" max="1800" width="14.0666666666667" style="169" customWidth="1"/>
    <col min="1801" max="2044" width="9.06666666666667" style="169"/>
    <col min="2045" max="2045" width="5.6" style="169" customWidth="1"/>
    <col min="2046" max="2046" width="10.8" style="169" customWidth="1"/>
    <col min="2047" max="2047" width="10" style="169" customWidth="1"/>
    <col min="2048" max="2048" width="8.46666666666667" style="169" customWidth="1"/>
    <col min="2049" max="2049" width="7.8" style="169" customWidth="1"/>
    <col min="2050" max="2050" width="6.53333333333333" style="169" customWidth="1"/>
    <col min="2051" max="2051" width="5.8" style="169" customWidth="1"/>
    <col min="2052" max="2052" width="3.13333333333333" style="169" customWidth="1"/>
    <col min="2053" max="2053" width="7.8" style="169" customWidth="1"/>
    <col min="2054" max="2054" width="9.66666666666667" style="169" customWidth="1"/>
    <col min="2055" max="2055" width="10" style="169" customWidth="1"/>
    <col min="2056" max="2056" width="14.0666666666667" style="169" customWidth="1"/>
    <col min="2057" max="2300" width="9.06666666666667" style="169"/>
    <col min="2301" max="2301" width="5.6" style="169" customWidth="1"/>
    <col min="2302" max="2302" width="10.8" style="169" customWidth="1"/>
    <col min="2303" max="2303" width="10" style="169" customWidth="1"/>
    <col min="2304" max="2304" width="8.46666666666667" style="169" customWidth="1"/>
    <col min="2305" max="2305" width="7.8" style="169" customWidth="1"/>
    <col min="2306" max="2306" width="6.53333333333333" style="169" customWidth="1"/>
    <col min="2307" max="2307" width="5.8" style="169" customWidth="1"/>
    <col min="2308" max="2308" width="3.13333333333333" style="169" customWidth="1"/>
    <col min="2309" max="2309" width="7.8" style="169" customWidth="1"/>
    <col min="2310" max="2310" width="9.66666666666667" style="169" customWidth="1"/>
    <col min="2311" max="2311" width="10" style="169" customWidth="1"/>
    <col min="2312" max="2312" width="14.0666666666667" style="169" customWidth="1"/>
    <col min="2313" max="2556" width="9.06666666666667" style="169"/>
    <col min="2557" max="2557" width="5.6" style="169" customWidth="1"/>
    <col min="2558" max="2558" width="10.8" style="169" customWidth="1"/>
    <col min="2559" max="2559" width="10" style="169" customWidth="1"/>
    <col min="2560" max="2560" width="8.46666666666667" style="169" customWidth="1"/>
    <col min="2561" max="2561" width="7.8" style="169" customWidth="1"/>
    <col min="2562" max="2562" width="6.53333333333333" style="169" customWidth="1"/>
    <col min="2563" max="2563" width="5.8" style="169" customWidth="1"/>
    <col min="2564" max="2564" width="3.13333333333333" style="169" customWidth="1"/>
    <col min="2565" max="2565" width="7.8" style="169" customWidth="1"/>
    <col min="2566" max="2566" width="9.66666666666667" style="169" customWidth="1"/>
    <col min="2567" max="2567" width="10" style="169" customWidth="1"/>
    <col min="2568" max="2568" width="14.0666666666667" style="169" customWidth="1"/>
    <col min="2569" max="2812" width="9.06666666666667" style="169"/>
    <col min="2813" max="2813" width="5.6" style="169" customWidth="1"/>
    <col min="2814" max="2814" width="10.8" style="169" customWidth="1"/>
    <col min="2815" max="2815" width="10" style="169" customWidth="1"/>
    <col min="2816" max="2816" width="8.46666666666667" style="169" customWidth="1"/>
    <col min="2817" max="2817" width="7.8" style="169" customWidth="1"/>
    <col min="2818" max="2818" width="6.53333333333333" style="169" customWidth="1"/>
    <col min="2819" max="2819" width="5.8" style="169" customWidth="1"/>
    <col min="2820" max="2820" width="3.13333333333333" style="169" customWidth="1"/>
    <col min="2821" max="2821" width="7.8" style="169" customWidth="1"/>
    <col min="2822" max="2822" width="9.66666666666667" style="169" customWidth="1"/>
    <col min="2823" max="2823" width="10" style="169" customWidth="1"/>
    <col min="2824" max="2824" width="14.0666666666667" style="169" customWidth="1"/>
    <col min="2825" max="3068" width="9.06666666666667" style="169"/>
    <col min="3069" max="3069" width="5.6" style="169" customWidth="1"/>
    <col min="3070" max="3070" width="10.8" style="169" customWidth="1"/>
    <col min="3071" max="3071" width="10" style="169" customWidth="1"/>
    <col min="3072" max="3072" width="8.46666666666667" style="169" customWidth="1"/>
    <col min="3073" max="3073" width="7.8" style="169" customWidth="1"/>
    <col min="3074" max="3074" width="6.53333333333333" style="169" customWidth="1"/>
    <col min="3075" max="3075" width="5.8" style="169" customWidth="1"/>
    <col min="3076" max="3076" width="3.13333333333333" style="169" customWidth="1"/>
    <col min="3077" max="3077" width="7.8" style="169" customWidth="1"/>
    <col min="3078" max="3078" width="9.66666666666667" style="169" customWidth="1"/>
    <col min="3079" max="3079" width="10" style="169" customWidth="1"/>
    <col min="3080" max="3080" width="14.0666666666667" style="169" customWidth="1"/>
    <col min="3081" max="3324" width="9.06666666666667" style="169"/>
    <col min="3325" max="3325" width="5.6" style="169" customWidth="1"/>
    <col min="3326" max="3326" width="10.8" style="169" customWidth="1"/>
    <col min="3327" max="3327" width="10" style="169" customWidth="1"/>
    <col min="3328" max="3328" width="8.46666666666667" style="169" customWidth="1"/>
    <col min="3329" max="3329" width="7.8" style="169" customWidth="1"/>
    <col min="3330" max="3330" width="6.53333333333333" style="169" customWidth="1"/>
    <col min="3331" max="3331" width="5.8" style="169" customWidth="1"/>
    <col min="3332" max="3332" width="3.13333333333333" style="169" customWidth="1"/>
    <col min="3333" max="3333" width="7.8" style="169" customWidth="1"/>
    <col min="3334" max="3334" width="9.66666666666667" style="169" customWidth="1"/>
    <col min="3335" max="3335" width="10" style="169" customWidth="1"/>
    <col min="3336" max="3336" width="14.0666666666667" style="169" customWidth="1"/>
    <col min="3337" max="3580" width="9.06666666666667" style="169"/>
    <col min="3581" max="3581" width="5.6" style="169" customWidth="1"/>
    <col min="3582" max="3582" width="10.8" style="169" customWidth="1"/>
    <col min="3583" max="3583" width="10" style="169" customWidth="1"/>
    <col min="3584" max="3584" width="8.46666666666667" style="169" customWidth="1"/>
    <col min="3585" max="3585" width="7.8" style="169" customWidth="1"/>
    <col min="3586" max="3586" width="6.53333333333333" style="169" customWidth="1"/>
    <col min="3587" max="3587" width="5.8" style="169" customWidth="1"/>
    <col min="3588" max="3588" width="3.13333333333333" style="169" customWidth="1"/>
    <col min="3589" max="3589" width="7.8" style="169" customWidth="1"/>
    <col min="3590" max="3590" width="9.66666666666667" style="169" customWidth="1"/>
    <col min="3591" max="3591" width="10" style="169" customWidth="1"/>
    <col min="3592" max="3592" width="14.0666666666667" style="169" customWidth="1"/>
    <col min="3593" max="3836" width="9.06666666666667" style="169"/>
    <col min="3837" max="3837" width="5.6" style="169" customWidth="1"/>
    <col min="3838" max="3838" width="10.8" style="169" customWidth="1"/>
    <col min="3839" max="3839" width="10" style="169" customWidth="1"/>
    <col min="3840" max="3840" width="8.46666666666667" style="169" customWidth="1"/>
    <col min="3841" max="3841" width="7.8" style="169" customWidth="1"/>
    <col min="3842" max="3842" width="6.53333333333333" style="169" customWidth="1"/>
    <col min="3843" max="3843" width="5.8" style="169" customWidth="1"/>
    <col min="3844" max="3844" width="3.13333333333333" style="169" customWidth="1"/>
    <col min="3845" max="3845" width="7.8" style="169" customWidth="1"/>
    <col min="3846" max="3846" width="9.66666666666667" style="169" customWidth="1"/>
    <col min="3847" max="3847" width="10" style="169" customWidth="1"/>
    <col min="3848" max="3848" width="14.0666666666667" style="169" customWidth="1"/>
    <col min="3849" max="4092" width="9.06666666666667" style="169"/>
    <col min="4093" max="4093" width="5.6" style="169" customWidth="1"/>
    <col min="4094" max="4094" width="10.8" style="169" customWidth="1"/>
    <col min="4095" max="4095" width="10" style="169" customWidth="1"/>
    <col min="4096" max="4096" width="8.46666666666667" style="169" customWidth="1"/>
    <col min="4097" max="4097" width="7.8" style="169" customWidth="1"/>
    <col min="4098" max="4098" width="6.53333333333333" style="169" customWidth="1"/>
    <col min="4099" max="4099" width="5.8" style="169" customWidth="1"/>
    <col min="4100" max="4100" width="3.13333333333333" style="169" customWidth="1"/>
    <col min="4101" max="4101" width="7.8" style="169" customWidth="1"/>
    <col min="4102" max="4102" width="9.66666666666667" style="169" customWidth="1"/>
    <col min="4103" max="4103" width="10" style="169" customWidth="1"/>
    <col min="4104" max="4104" width="14.0666666666667" style="169" customWidth="1"/>
    <col min="4105" max="4348" width="9.06666666666667" style="169"/>
    <col min="4349" max="4349" width="5.6" style="169" customWidth="1"/>
    <col min="4350" max="4350" width="10.8" style="169" customWidth="1"/>
    <col min="4351" max="4351" width="10" style="169" customWidth="1"/>
    <col min="4352" max="4352" width="8.46666666666667" style="169" customWidth="1"/>
    <col min="4353" max="4353" width="7.8" style="169" customWidth="1"/>
    <col min="4354" max="4354" width="6.53333333333333" style="169" customWidth="1"/>
    <col min="4355" max="4355" width="5.8" style="169" customWidth="1"/>
    <col min="4356" max="4356" width="3.13333333333333" style="169" customWidth="1"/>
    <col min="4357" max="4357" width="7.8" style="169" customWidth="1"/>
    <col min="4358" max="4358" width="9.66666666666667" style="169" customWidth="1"/>
    <col min="4359" max="4359" width="10" style="169" customWidth="1"/>
    <col min="4360" max="4360" width="14.0666666666667" style="169" customWidth="1"/>
    <col min="4361" max="4604" width="9.06666666666667" style="169"/>
    <col min="4605" max="4605" width="5.6" style="169" customWidth="1"/>
    <col min="4606" max="4606" width="10.8" style="169" customWidth="1"/>
    <col min="4607" max="4607" width="10" style="169" customWidth="1"/>
    <col min="4608" max="4608" width="8.46666666666667" style="169" customWidth="1"/>
    <col min="4609" max="4609" width="7.8" style="169" customWidth="1"/>
    <col min="4610" max="4610" width="6.53333333333333" style="169" customWidth="1"/>
    <col min="4611" max="4611" width="5.8" style="169" customWidth="1"/>
    <col min="4612" max="4612" width="3.13333333333333" style="169" customWidth="1"/>
    <col min="4613" max="4613" width="7.8" style="169" customWidth="1"/>
    <col min="4614" max="4614" width="9.66666666666667" style="169" customWidth="1"/>
    <col min="4615" max="4615" width="10" style="169" customWidth="1"/>
    <col min="4616" max="4616" width="14.0666666666667" style="169" customWidth="1"/>
    <col min="4617" max="4860" width="9.06666666666667" style="169"/>
    <col min="4861" max="4861" width="5.6" style="169" customWidth="1"/>
    <col min="4862" max="4862" width="10.8" style="169" customWidth="1"/>
    <col min="4863" max="4863" width="10" style="169" customWidth="1"/>
    <col min="4864" max="4864" width="8.46666666666667" style="169" customWidth="1"/>
    <col min="4865" max="4865" width="7.8" style="169" customWidth="1"/>
    <col min="4866" max="4866" width="6.53333333333333" style="169" customWidth="1"/>
    <col min="4867" max="4867" width="5.8" style="169" customWidth="1"/>
    <col min="4868" max="4868" width="3.13333333333333" style="169" customWidth="1"/>
    <col min="4869" max="4869" width="7.8" style="169" customWidth="1"/>
    <col min="4870" max="4870" width="9.66666666666667" style="169" customWidth="1"/>
    <col min="4871" max="4871" width="10" style="169" customWidth="1"/>
    <col min="4872" max="4872" width="14.0666666666667" style="169" customWidth="1"/>
    <col min="4873" max="5116" width="9.06666666666667" style="169"/>
    <col min="5117" max="5117" width="5.6" style="169" customWidth="1"/>
    <col min="5118" max="5118" width="10.8" style="169" customWidth="1"/>
    <col min="5119" max="5119" width="10" style="169" customWidth="1"/>
    <col min="5120" max="5120" width="8.46666666666667" style="169" customWidth="1"/>
    <col min="5121" max="5121" width="7.8" style="169" customWidth="1"/>
    <col min="5122" max="5122" width="6.53333333333333" style="169" customWidth="1"/>
    <col min="5123" max="5123" width="5.8" style="169" customWidth="1"/>
    <col min="5124" max="5124" width="3.13333333333333" style="169" customWidth="1"/>
    <col min="5125" max="5125" width="7.8" style="169" customWidth="1"/>
    <col min="5126" max="5126" width="9.66666666666667" style="169" customWidth="1"/>
    <col min="5127" max="5127" width="10" style="169" customWidth="1"/>
    <col min="5128" max="5128" width="14.0666666666667" style="169" customWidth="1"/>
    <col min="5129" max="5372" width="9.06666666666667" style="169"/>
    <col min="5373" max="5373" width="5.6" style="169" customWidth="1"/>
    <col min="5374" max="5374" width="10.8" style="169" customWidth="1"/>
    <col min="5375" max="5375" width="10" style="169" customWidth="1"/>
    <col min="5376" max="5376" width="8.46666666666667" style="169" customWidth="1"/>
    <col min="5377" max="5377" width="7.8" style="169" customWidth="1"/>
    <col min="5378" max="5378" width="6.53333333333333" style="169" customWidth="1"/>
    <col min="5379" max="5379" width="5.8" style="169" customWidth="1"/>
    <col min="5380" max="5380" width="3.13333333333333" style="169" customWidth="1"/>
    <col min="5381" max="5381" width="7.8" style="169" customWidth="1"/>
    <col min="5382" max="5382" width="9.66666666666667" style="169" customWidth="1"/>
    <col min="5383" max="5383" width="10" style="169" customWidth="1"/>
    <col min="5384" max="5384" width="14.0666666666667" style="169" customWidth="1"/>
    <col min="5385" max="5628" width="9.06666666666667" style="169"/>
    <col min="5629" max="5629" width="5.6" style="169" customWidth="1"/>
    <col min="5630" max="5630" width="10.8" style="169" customWidth="1"/>
    <col min="5631" max="5631" width="10" style="169" customWidth="1"/>
    <col min="5632" max="5632" width="8.46666666666667" style="169" customWidth="1"/>
    <col min="5633" max="5633" width="7.8" style="169" customWidth="1"/>
    <col min="5634" max="5634" width="6.53333333333333" style="169" customWidth="1"/>
    <col min="5635" max="5635" width="5.8" style="169" customWidth="1"/>
    <col min="5636" max="5636" width="3.13333333333333" style="169" customWidth="1"/>
    <col min="5637" max="5637" width="7.8" style="169" customWidth="1"/>
    <col min="5638" max="5638" width="9.66666666666667" style="169" customWidth="1"/>
    <col min="5639" max="5639" width="10" style="169" customWidth="1"/>
    <col min="5640" max="5640" width="14.0666666666667" style="169" customWidth="1"/>
    <col min="5641" max="5884" width="9.06666666666667" style="169"/>
    <col min="5885" max="5885" width="5.6" style="169" customWidth="1"/>
    <col min="5886" max="5886" width="10.8" style="169" customWidth="1"/>
    <col min="5887" max="5887" width="10" style="169" customWidth="1"/>
    <col min="5888" max="5888" width="8.46666666666667" style="169" customWidth="1"/>
    <col min="5889" max="5889" width="7.8" style="169" customWidth="1"/>
    <col min="5890" max="5890" width="6.53333333333333" style="169" customWidth="1"/>
    <col min="5891" max="5891" width="5.8" style="169" customWidth="1"/>
    <col min="5892" max="5892" width="3.13333333333333" style="169" customWidth="1"/>
    <col min="5893" max="5893" width="7.8" style="169" customWidth="1"/>
    <col min="5894" max="5894" width="9.66666666666667" style="169" customWidth="1"/>
    <col min="5895" max="5895" width="10" style="169" customWidth="1"/>
    <col min="5896" max="5896" width="14.0666666666667" style="169" customWidth="1"/>
    <col min="5897" max="6140" width="9.06666666666667" style="169"/>
    <col min="6141" max="6141" width="5.6" style="169" customWidth="1"/>
    <col min="6142" max="6142" width="10.8" style="169" customWidth="1"/>
    <col min="6143" max="6143" width="10" style="169" customWidth="1"/>
    <col min="6144" max="6144" width="8.46666666666667" style="169" customWidth="1"/>
    <col min="6145" max="6145" width="7.8" style="169" customWidth="1"/>
    <col min="6146" max="6146" width="6.53333333333333" style="169" customWidth="1"/>
    <col min="6147" max="6147" width="5.8" style="169" customWidth="1"/>
    <col min="6148" max="6148" width="3.13333333333333" style="169" customWidth="1"/>
    <col min="6149" max="6149" width="7.8" style="169" customWidth="1"/>
    <col min="6150" max="6150" width="9.66666666666667" style="169" customWidth="1"/>
    <col min="6151" max="6151" width="10" style="169" customWidth="1"/>
    <col min="6152" max="6152" width="14.0666666666667" style="169" customWidth="1"/>
    <col min="6153" max="6396" width="9.06666666666667" style="169"/>
    <col min="6397" max="6397" width="5.6" style="169" customWidth="1"/>
    <col min="6398" max="6398" width="10.8" style="169" customWidth="1"/>
    <col min="6399" max="6399" width="10" style="169" customWidth="1"/>
    <col min="6400" max="6400" width="8.46666666666667" style="169" customWidth="1"/>
    <col min="6401" max="6401" width="7.8" style="169" customWidth="1"/>
    <col min="6402" max="6402" width="6.53333333333333" style="169" customWidth="1"/>
    <col min="6403" max="6403" width="5.8" style="169" customWidth="1"/>
    <col min="6404" max="6404" width="3.13333333333333" style="169" customWidth="1"/>
    <col min="6405" max="6405" width="7.8" style="169" customWidth="1"/>
    <col min="6406" max="6406" width="9.66666666666667" style="169" customWidth="1"/>
    <col min="6407" max="6407" width="10" style="169" customWidth="1"/>
    <col min="6408" max="6408" width="14.0666666666667" style="169" customWidth="1"/>
    <col min="6409" max="6652" width="9.06666666666667" style="169"/>
    <col min="6653" max="6653" width="5.6" style="169" customWidth="1"/>
    <col min="6654" max="6654" width="10.8" style="169" customWidth="1"/>
    <col min="6655" max="6655" width="10" style="169" customWidth="1"/>
    <col min="6656" max="6656" width="8.46666666666667" style="169" customWidth="1"/>
    <col min="6657" max="6657" width="7.8" style="169" customWidth="1"/>
    <col min="6658" max="6658" width="6.53333333333333" style="169" customWidth="1"/>
    <col min="6659" max="6659" width="5.8" style="169" customWidth="1"/>
    <col min="6660" max="6660" width="3.13333333333333" style="169" customWidth="1"/>
    <col min="6661" max="6661" width="7.8" style="169" customWidth="1"/>
    <col min="6662" max="6662" width="9.66666666666667" style="169" customWidth="1"/>
    <col min="6663" max="6663" width="10" style="169" customWidth="1"/>
    <col min="6664" max="6664" width="14.0666666666667" style="169" customWidth="1"/>
    <col min="6665" max="6908" width="9.06666666666667" style="169"/>
    <col min="6909" max="6909" width="5.6" style="169" customWidth="1"/>
    <col min="6910" max="6910" width="10.8" style="169" customWidth="1"/>
    <col min="6911" max="6911" width="10" style="169" customWidth="1"/>
    <col min="6912" max="6912" width="8.46666666666667" style="169" customWidth="1"/>
    <col min="6913" max="6913" width="7.8" style="169" customWidth="1"/>
    <col min="6914" max="6914" width="6.53333333333333" style="169" customWidth="1"/>
    <col min="6915" max="6915" width="5.8" style="169" customWidth="1"/>
    <col min="6916" max="6916" width="3.13333333333333" style="169" customWidth="1"/>
    <col min="6917" max="6917" width="7.8" style="169" customWidth="1"/>
    <col min="6918" max="6918" width="9.66666666666667" style="169" customWidth="1"/>
    <col min="6919" max="6919" width="10" style="169" customWidth="1"/>
    <col min="6920" max="6920" width="14.0666666666667" style="169" customWidth="1"/>
    <col min="6921" max="7164" width="9.06666666666667" style="169"/>
    <col min="7165" max="7165" width="5.6" style="169" customWidth="1"/>
    <col min="7166" max="7166" width="10.8" style="169" customWidth="1"/>
    <col min="7167" max="7167" width="10" style="169" customWidth="1"/>
    <col min="7168" max="7168" width="8.46666666666667" style="169" customWidth="1"/>
    <col min="7169" max="7169" width="7.8" style="169" customWidth="1"/>
    <col min="7170" max="7170" width="6.53333333333333" style="169" customWidth="1"/>
    <col min="7171" max="7171" width="5.8" style="169" customWidth="1"/>
    <col min="7172" max="7172" width="3.13333333333333" style="169" customWidth="1"/>
    <col min="7173" max="7173" width="7.8" style="169" customWidth="1"/>
    <col min="7174" max="7174" width="9.66666666666667" style="169" customWidth="1"/>
    <col min="7175" max="7175" width="10" style="169" customWidth="1"/>
    <col min="7176" max="7176" width="14.0666666666667" style="169" customWidth="1"/>
    <col min="7177" max="7420" width="9.06666666666667" style="169"/>
    <col min="7421" max="7421" width="5.6" style="169" customWidth="1"/>
    <col min="7422" max="7422" width="10.8" style="169" customWidth="1"/>
    <col min="7423" max="7423" width="10" style="169" customWidth="1"/>
    <col min="7424" max="7424" width="8.46666666666667" style="169" customWidth="1"/>
    <col min="7425" max="7425" width="7.8" style="169" customWidth="1"/>
    <col min="7426" max="7426" width="6.53333333333333" style="169" customWidth="1"/>
    <col min="7427" max="7427" width="5.8" style="169" customWidth="1"/>
    <col min="7428" max="7428" width="3.13333333333333" style="169" customWidth="1"/>
    <col min="7429" max="7429" width="7.8" style="169" customWidth="1"/>
    <col min="7430" max="7430" width="9.66666666666667" style="169" customWidth="1"/>
    <col min="7431" max="7431" width="10" style="169" customWidth="1"/>
    <col min="7432" max="7432" width="14.0666666666667" style="169" customWidth="1"/>
    <col min="7433" max="7676" width="9.06666666666667" style="169"/>
    <col min="7677" max="7677" width="5.6" style="169" customWidth="1"/>
    <col min="7678" max="7678" width="10.8" style="169" customWidth="1"/>
    <col min="7679" max="7679" width="10" style="169" customWidth="1"/>
    <col min="7680" max="7680" width="8.46666666666667" style="169" customWidth="1"/>
    <col min="7681" max="7681" width="7.8" style="169" customWidth="1"/>
    <col min="7682" max="7682" width="6.53333333333333" style="169" customWidth="1"/>
    <col min="7683" max="7683" width="5.8" style="169" customWidth="1"/>
    <col min="7684" max="7684" width="3.13333333333333" style="169" customWidth="1"/>
    <col min="7685" max="7685" width="7.8" style="169" customWidth="1"/>
    <col min="7686" max="7686" width="9.66666666666667" style="169" customWidth="1"/>
    <col min="7687" max="7687" width="10" style="169" customWidth="1"/>
    <col min="7688" max="7688" width="14.0666666666667" style="169" customWidth="1"/>
    <col min="7689" max="7932" width="9.06666666666667" style="169"/>
    <col min="7933" max="7933" width="5.6" style="169" customWidth="1"/>
    <col min="7934" max="7934" width="10.8" style="169" customWidth="1"/>
    <col min="7935" max="7935" width="10" style="169" customWidth="1"/>
    <col min="7936" max="7936" width="8.46666666666667" style="169" customWidth="1"/>
    <col min="7937" max="7937" width="7.8" style="169" customWidth="1"/>
    <col min="7938" max="7938" width="6.53333333333333" style="169" customWidth="1"/>
    <col min="7939" max="7939" width="5.8" style="169" customWidth="1"/>
    <col min="7940" max="7940" width="3.13333333333333" style="169" customWidth="1"/>
    <col min="7941" max="7941" width="7.8" style="169" customWidth="1"/>
    <col min="7942" max="7942" width="9.66666666666667" style="169" customWidth="1"/>
    <col min="7943" max="7943" width="10" style="169" customWidth="1"/>
    <col min="7944" max="7944" width="14.0666666666667" style="169" customWidth="1"/>
    <col min="7945" max="8188" width="9.06666666666667" style="169"/>
    <col min="8189" max="8189" width="5.6" style="169" customWidth="1"/>
    <col min="8190" max="8190" width="10.8" style="169" customWidth="1"/>
    <col min="8191" max="8191" width="10" style="169" customWidth="1"/>
    <col min="8192" max="8192" width="8.46666666666667" style="169" customWidth="1"/>
    <col min="8193" max="8193" width="7.8" style="169" customWidth="1"/>
    <col min="8194" max="8194" width="6.53333333333333" style="169" customWidth="1"/>
    <col min="8195" max="8195" width="5.8" style="169" customWidth="1"/>
    <col min="8196" max="8196" width="3.13333333333333" style="169" customWidth="1"/>
    <col min="8197" max="8197" width="7.8" style="169" customWidth="1"/>
    <col min="8198" max="8198" width="9.66666666666667" style="169" customWidth="1"/>
    <col min="8199" max="8199" width="10" style="169" customWidth="1"/>
    <col min="8200" max="8200" width="14.0666666666667" style="169" customWidth="1"/>
    <col min="8201" max="8444" width="9.06666666666667" style="169"/>
    <col min="8445" max="8445" width="5.6" style="169" customWidth="1"/>
    <col min="8446" max="8446" width="10.8" style="169" customWidth="1"/>
    <col min="8447" max="8447" width="10" style="169" customWidth="1"/>
    <col min="8448" max="8448" width="8.46666666666667" style="169" customWidth="1"/>
    <col min="8449" max="8449" width="7.8" style="169" customWidth="1"/>
    <col min="8450" max="8450" width="6.53333333333333" style="169" customWidth="1"/>
    <col min="8451" max="8451" width="5.8" style="169" customWidth="1"/>
    <col min="8452" max="8452" width="3.13333333333333" style="169" customWidth="1"/>
    <col min="8453" max="8453" width="7.8" style="169" customWidth="1"/>
    <col min="8454" max="8454" width="9.66666666666667" style="169" customWidth="1"/>
    <col min="8455" max="8455" width="10" style="169" customWidth="1"/>
    <col min="8456" max="8456" width="14.0666666666667" style="169" customWidth="1"/>
    <col min="8457" max="8700" width="9.06666666666667" style="169"/>
    <col min="8701" max="8701" width="5.6" style="169" customWidth="1"/>
    <col min="8702" max="8702" width="10.8" style="169" customWidth="1"/>
    <col min="8703" max="8703" width="10" style="169" customWidth="1"/>
    <col min="8704" max="8704" width="8.46666666666667" style="169" customWidth="1"/>
    <col min="8705" max="8705" width="7.8" style="169" customWidth="1"/>
    <col min="8706" max="8706" width="6.53333333333333" style="169" customWidth="1"/>
    <col min="8707" max="8707" width="5.8" style="169" customWidth="1"/>
    <col min="8708" max="8708" width="3.13333333333333" style="169" customWidth="1"/>
    <col min="8709" max="8709" width="7.8" style="169" customWidth="1"/>
    <col min="8710" max="8710" width="9.66666666666667" style="169" customWidth="1"/>
    <col min="8711" max="8711" width="10" style="169" customWidth="1"/>
    <col min="8712" max="8712" width="14.0666666666667" style="169" customWidth="1"/>
    <col min="8713" max="8956" width="9.06666666666667" style="169"/>
    <col min="8957" max="8957" width="5.6" style="169" customWidth="1"/>
    <col min="8958" max="8958" width="10.8" style="169" customWidth="1"/>
    <col min="8959" max="8959" width="10" style="169" customWidth="1"/>
    <col min="8960" max="8960" width="8.46666666666667" style="169" customWidth="1"/>
    <col min="8961" max="8961" width="7.8" style="169" customWidth="1"/>
    <col min="8962" max="8962" width="6.53333333333333" style="169" customWidth="1"/>
    <col min="8963" max="8963" width="5.8" style="169" customWidth="1"/>
    <col min="8964" max="8964" width="3.13333333333333" style="169" customWidth="1"/>
    <col min="8965" max="8965" width="7.8" style="169" customWidth="1"/>
    <col min="8966" max="8966" width="9.66666666666667" style="169" customWidth="1"/>
    <col min="8967" max="8967" width="10" style="169" customWidth="1"/>
    <col min="8968" max="8968" width="14.0666666666667" style="169" customWidth="1"/>
    <col min="8969" max="9212" width="9.06666666666667" style="169"/>
    <col min="9213" max="9213" width="5.6" style="169" customWidth="1"/>
    <col min="9214" max="9214" width="10.8" style="169" customWidth="1"/>
    <col min="9215" max="9215" width="10" style="169" customWidth="1"/>
    <col min="9216" max="9216" width="8.46666666666667" style="169" customWidth="1"/>
    <col min="9217" max="9217" width="7.8" style="169" customWidth="1"/>
    <col min="9218" max="9218" width="6.53333333333333" style="169" customWidth="1"/>
    <col min="9219" max="9219" width="5.8" style="169" customWidth="1"/>
    <col min="9220" max="9220" width="3.13333333333333" style="169" customWidth="1"/>
    <col min="9221" max="9221" width="7.8" style="169" customWidth="1"/>
    <col min="9222" max="9222" width="9.66666666666667" style="169" customWidth="1"/>
    <col min="9223" max="9223" width="10" style="169" customWidth="1"/>
    <col min="9224" max="9224" width="14.0666666666667" style="169" customWidth="1"/>
    <col min="9225" max="9468" width="9.06666666666667" style="169"/>
    <col min="9469" max="9469" width="5.6" style="169" customWidth="1"/>
    <col min="9470" max="9470" width="10.8" style="169" customWidth="1"/>
    <col min="9471" max="9471" width="10" style="169" customWidth="1"/>
    <col min="9472" max="9472" width="8.46666666666667" style="169" customWidth="1"/>
    <col min="9473" max="9473" width="7.8" style="169" customWidth="1"/>
    <col min="9474" max="9474" width="6.53333333333333" style="169" customWidth="1"/>
    <col min="9475" max="9475" width="5.8" style="169" customWidth="1"/>
    <col min="9476" max="9476" width="3.13333333333333" style="169" customWidth="1"/>
    <col min="9477" max="9477" width="7.8" style="169" customWidth="1"/>
    <col min="9478" max="9478" width="9.66666666666667" style="169" customWidth="1"/>
    <col min="9479" max="9479" width="10" style="169" customWidth="1"/>
    <col min="9480" max="9480" width="14.0666666666667" style="169" customWidth="1"/>
    <col min="9481" max="9724" width="9.06666666666667" style="169"/>
    <col min="9725" max="9725" width="5.6" style="169" customWidth="1"/>
    <col min="9726" max="9726" width="10.8" style="169" customWidth="1"/>
    <col min="9727" max="9727" width="10" style="169" customWidth="1"/>
    <col min="9728" max="9728" width="8.46666666666667" style="169" customWidth="1"/>
    <col min="9729" max="9729" width="7.8" style="169" customWidth="1"/>
    <col min="9730" max="9730" width="6.53333333333333" style="169" customWidth="1"/>
    <col min="9731" max="9731" width="5.8" style="169" customWidth="1"/>
    <col min="9732" max="9732" width="3.13333333333333" style="169" customWidth="1"/>
    <col min="9733" max="9733" width="7.8" style="169" customWidth="1"/>
    <col min="9734" max="9734" width="9.66666666666667" style="169" customWidth="1"/>
    <col min="9735" max="9735" width="10" style="169" customWidth="1"/>
    <col min="9736" max="9736" width="14.0666666666667" style="169" customWidth="1"/>
    <col min="9737" max="9980" width="9.06666666666667" style="169"/>
    <col min="9981" max="9981" width="5.6" style="169" customWidth="1"/>
    <col min="9982" max="9982" width="10.8" style="169" customWidth="1"/>
    <col min="9983" max="9983" width="10" style="169" customWidth="1"/>
    <col min="9984" max="9984" width="8.46666666666667" style="169" customWidth="1"/>
    <col min="9985" max="9985" width="7.8" style="169" customWidth="1"/>
    <col min="9986" max="9986" width="6.53333333333333" style="169" customWidth="1"/>
    <col min="9987" max="9987" width="5.8" style="169" customWidth="1"/>
    <col min="9988" max="9988" width="3.13333333333333" style="169" customWidth="1"/>
    <col min="9989" max="9989" width="7.8" style="169" customWidth="1"/>
    <col min="9990" max="9990" width="9.66666666666667" style="169" customWidth="1"/>
    <col min="9991" max="9991" width="10" style="169" customWidth="1"/>
    <col min="9992" max="9992" width="14.0666666666667" style="169" customWidth="1"/>
    <col min="9993" max="10236" width="9.06666666666667" style="169"/>
    <col min="10237" max="10237" width="5.6" style="169" customWidth="1"/>
    <col min="10238" max="10238" width="10.8" style="169" customWidth="1"/>
    <col min="10239" max="10239" width="10" style="169" customWidth="1"/>
    <col min="10240" max="10240" width="8.46666666666667" style="169" customWidth="1"/>
    <col min="10241" max="10241" width="7.8" style="169" customWidth="1"/>
    <col min="10242" max="10242" width="6.53333333333333" style="169" customWidth="1"/>
    <col min="10243" max="10243" width="5.8" style="169" customWidth="1"/>
    <col min="10244" max="10244" width="3.13333333333333" style="169" customWidth="1"/>
    <col min="10245" max="10245" width="7.8" style="169" customWidth="1"/>
    <col min="10246" max="10246" width="9.66666666666667" style="169" customWidth="1"/>
    <col min="10247" max="10247" width="10" style="169" customWidth="1"/>
    <col min="10248" max="10248" width="14.0666666666667" style="169" customWidth="1"/>
    <col min="10249" max="10492" width="9.06666666666667" style="169"/>
    <col min="10493" max="10493" width="5.6" style="169" customWidth="1"/>
    <col min="10494" max="10494" width="10.8" style="169" customWidth="1"/>
    <col min="10495" max="10495" width="10" style="169" customWidth="1"/>
    <col min="10496" max="10496" width="8.46666666666667" style="169" customWidth="1"/>
    <col min="10497" max="10497" width="7.8" style="169" customWidth="1"/>
    <col min="10498" max="10498" width="6.53333333333333" style="169" customWidth="1"/>
    <col min="10499" max="10499" width="5.8" style="169" customWidth="1"/>
    <col min="10500" max="10500" width="3.13333333333333" style="169" customWidth="1"/>
    <col min="10501" max="10501" width="7.8" style="169" customWidth="1"/>
    <col min="10502" max="10502" width="9.66666666666667" style="169" customWidth="1"/>
    <col min="10503" max="10503" width="10" style="169" customWidth="1"/>
    <col min="10504" max="10504" width="14.0666666666667" style="169" customWidth="1"/>
    <col min="10505" max="10748" width="9.06666666666667" style="169"/>
    <col min="10749" max="10749" width="5.6" style="169" customWidth="1"/>
    <col min="10750" max="10750" width="10.8" style="169" customWidth="1"/>
    <col min="10751" max="10751" width="10" style="169" customWidth="1"/>
    <col min="10752" max="10752" width="8.46666666666667" style="169" customWidth="1"/>
    <col min="10753" max="10753" width="7.8" style="169" customWidth="1"/>
    <col min="10754" max="10754" width="6.53333333333333" style="169" customWidth="1"/>
    <col min="10755" max="10755" width="5.8" style="169" customWidth="1"/>
    <col min="10756" max="10756" width="3.13333333333333" style="169" customWidth="1"/>
    <col min="10757" max="10757" width="7.8" style="169" customWidth="1"/>
    <col min="10758" max="10758" width="9.66666666666667" style="169" customWidth="1"/>
    <col min="10759" max="10759" width="10" style="169" customWidth="1"/>
    <col min="10760" max="10760" width="14.0666666666667" style="169" customWidth="1"/>
    <col min="10761" max="11004" width="9.06666666666667" style="169"/>
    <col min="11005" max="11005" width="5.6" style="169" customWidth="1"/>
    <col min="11006" max="11006" width="10.8" style="169" customWidth="1"/>
    <col min="11007" max="11007" width="10" style="169" customWidth="1"/>
    <col min="11008" max="11008" width="8.46666666666667" style="169" customWidth="1"/>
    <col min="11009" max="11009" width="7.8" style="169" customWidth="1"/>
    <col min="11010" max="11010" width="6.53333333333333" style="169" customWidth="1"/>
    <col min="11011" max="11011" width="5.8" style="169" customWidth="1"/>
    <col min="11012" max="11012" width="3.13333333333333" style="169" customWidth="1"/>
    <col min="11013" max="11013" width="7.8" style="169" customWidth="1"/>
    <col min="11014" max="11014" width="9.66666666666667" style="169" customWidth="1"/>
    <col min="11015" max="11015" width="10" style="169" customWidth="1"/>
    <col min="11016" max="11016" width="14.0666666666667" style="169" customWidth="1"/>
    <col min="11017" max="11260" width="9.06666666666667" style="169"/>
    <col min="11261" max="11261" width="5.6" style="169" customWidth="1"/>
    <col min="11262" max="11262" width="10.8" style="169" customWidth="1"/>
    <col min="11263" max="11263" width="10" style="169" customWidth="1"/>
    <col min="11264" max="11264" width="8.46666666666667" style="169" customWidth="1"/>
    <col min="11265" max="11265" width="7.8" style="169" customWidth="1"/>
    <col min="11266" max="11266" width="6.53333333333333" style="169" customWidth="1"/>
    <col min="11267" max="11267" width="5.8" style="169" customWidth="1"/>
    <col min="11268" max="11268" width="3.13333333333333" style="169" customWidth="1"/>
    <col min="11269" max="11269" width="7.8" style="169" customWidth="1"/>
    <col min="11270" max="11270" width="9.66666666666667" style="169" customWidth="1"/>
    <col min="11271" max="11271" width="10" style="169" customWidth="1"/>
    <col min="11272" max="11272" width="14.0666666666667" style="169" customWidth="1"/>
    <col min="11273" max="11516" width="9.06666666666667" style="169"/>
    <col min="11517" max="11517" width="5.6" style="169" customWidth="1"/>
    <col min="11518" max="11518" width="10.8" style="169" customWidth="1"/>
    <col min="11519" max="11519" width="10" style="169" customWidth="1"/>
    <col min="11520" max="11520" width="8.46666666666667" style="169" customWidth="1"/>
    <col min="11521" max="11521" width="7.8" style="169" customWidth="1"/>
    <col min="11522" max="11522" width="6.53333333333333" style="169" customWidth="1"/>
    <col min="11523" max="11523" width="5.8" style="169" customWidth="1"/>
    <col min="11524" max="11524" width="3.13333333333333" style="169" customWidth="1"/>
    <col min="11525" max="11525" width="7.8" style="169" customWidth="1"/>
    <col min="11526" max="11526" width="9.66666666666667" style="169" customWidth="1"/>
    <col min="11527" max="11527" width="10" style="169" customWidth="1"/>
    <col min="11528" max="11528" width="14.0666666666667" style="169" customWidth="1"/>
    <col min="11529" max="11772" width="9.06666666666667" style="169"/>
    <col min="11773" max="11773" width="5.6" style="169" customWidth="1"/>
    <col min="11774" max="11774" width="10.8" style="169" customWidth="1"/>
    <col min="11775" max="11775" width="10" style="169" customWidth="1"/>
    <col min="11776" max="11776" width="8.46666666666667" style="169" customWidth="1"/>
    <col min="11777" max="11777" width="7.8" style="169" customWidth="1"/>
    <col min="11778" max="11778" width="6.53333333333333" style="169" customWidth="1"/>
    <col min="11779" max="11779" width="5.8" style="169" customWidth="1"/>
    <col min="11780" max="11780" width="3.13333333333333" style="169" customWidth="1"/>
    <col min="11781" max="11781" width="7.8" style="169" customWidth="1"/>
    <col min="11782" max="11782" width="9.66666666666667" style="169" customWidth="1"/>
    <col min="11783" max="11783" width="10" style="169" customWidth="1"/>
    <col min="11784" max="11784" width="14.0666666666667" style="169" customWidth="1"/>
    <col min="11785" max="12028" width="9.06666666666667" style="169"/>
    <col min="12029" max="12029" width="5.6" style="169" customWidth="1"/>
    <col min="12030" max="12030" width="10.8" style="169" customWidth="1"/>
    <col min="12031" max="12031" width="10" style="169" customWidth="1"/>
    <col min="12032" max="12032" width="8.46666666666667" style="169" customWidth="1"/>
    <col min="12033" max="12033" width="7.8" style="169" customWidth="1"/>
    <col min="12034" max="12034" width="6.53333333333333" style="169" customWidth="1"/>
    <col min="12035" max="12035" width="5.8" style="169" customWidth="1"/>
    <col min="12036" max="12036" width="3.13333333333333" style="169" customWidth="1"/>
    <col min="12037" max="12037" width="7.8" style="169" customWidth="1"/>
    <col min="12038" max="12038" width="9.66666666666667" style="169" customWidth="1"/>
    <col min="12039" max="12039" width="10" style="169" customWidth="1"/>
    <col min="12040" max="12040" width="14.0666666666667" style="169" customWidth="1"/>
    <col min="12041" max="12284" width="9.06666666666667" style="169"/>
    <col min="12285" max="12285" width="5.6" style="169" customWidth="1"/>
    <col min="12286" max="12286" width="10.8" style="169" customWidth="1"/>
    <col min="12287" max="12287" width="10" style="169" customWidth="1"/>
    <col min="12288" max="12288" width="8.46666666666667" style="169" customWidth="1"/>
    <col min="12289" max="12289" width="7.8" style="169" customWidth="1"/>
    <col min="12290" max="12290" width="6.53333333333333" style="169" customWidth="1"/>
    <col min="12291" max="12291" width="5.8" style="169" customWidth="1"/>
    <col min="12292" max="12292" width="3.13333333333333" style="169" customWidth="1"/>
    <col min="12293" max="12293" width="7.8" style="169" customWidth="1"/>
    <col min="12294" max="12294" width="9.66666666666667" style="169" customWidth="1"/>
    <col min="12295" max="12295" width="10" style="169" customWidth="1"/>
    <col min="12296" max="12296" width="14.0666666666667" style="169" customWidth="1"/>
    <col min="12297" max="12540" width="9.06666666666667" style="169"/>
    <col min="12541" max="12541" width="5.6" style="169" customWidth="1"/>
    <col min="12542" max="12542" width="10.8" style="169" customWidth="1"/>
    <col min="12543" max="12543" width="10" style="169" customWidth="1"/>
    <col min="12544" max="12544" width="8.46666666666667" style="169" customWidth="1"/>
    <col min="12545" max="12545" width="7.8" style="169" customWidth="1"/>
    <col min="12546" max="12546" width="6.53333333333333" style="169" customWidth="1"/>
    <col min="12547" max="12547" width="5.8" style="169" customWidth="1"/>
    <col min="12548" max="12548" width="3.13333333333333" style="169" customWidth="1"/>
    <col min="12549" max="12549" width="7.8" style="169" customWidth="1"/>
    <col min="12550" max="12550" width="9.66666666666667" style="169" customWidth="1"/>
    <col min="12551" max="12551" width="10" style="169" customWidth="1"/>
    <col min="12552" max="12552" width="14.0666666666667" style="169" customWidth="1"/>
    <col min="12553" max="12796" width="9.06666666666667" style="169"/>
    <col min="12797" max="12797" width="5.6" style="169" customWidth="1"/>
    <col min="12798" max="12798" width="10.8" style="169" customWidth="1"/>
    <col min="12799" max="12799" width="10" style="169" customWidth="1"/>
    <col min="12800" max="12800" width="8.46666666666667" style="169" customWidth="1"/>
    <col min="12801" max="12801" width="7.8" style="169" customWidth="1"/>
    <col min="12802" max="12802" width="6.53333333333333" style="169" customWidth="1"/>
    <col min="12803" max="12803" width="5.8" style="169" customWidth="1"/>
    <col min="12804" max="12804" width="3.13333333333333" style="169" customWidth="1"/>
    <col min="12805" max="12805" width="7.8" style="169" customWidth="1"/>
    <col min="12806" max="12806" width="9.66666666666667" style="169" customWidth="1"/>
    <col min="12807" max="12807" width="10" style="169" customWidth="1"/>
    <col min="12808" max="12808" width="14.0666666666667" style="169" customWidth="1"/>
    <col min="12809" max="13052" width="9.06666666666667" style="169"/>
    <col min="13053" max="13053" width="5.6" style="169" customWidth="1"/>
    <col min="13054" max="13054" width="10.8" style="169" customWidth="1"/>
    <col min="13055" max="13055" width="10" style="169" customWidth="1"/>
    <col min="13056" max="13056" width="8.46666666666667" style="169" customWidth="1"/>
    <col min="13057" max="13057" width="7.8" style="169" customWidth="1"/>
    <col min="13058" max="13058" width="6.53333333333333" style="169" customWidth="1"/>
    <col min="13059" max="13059" width="5.8" style="169" customWidth="1"/>
    <col min="13060" max="13060" width="3.13333333333333" style="169" customWidth="1"/>
    <col min="13061" max="13061" width="7.8" style="169" customWidth="1"/>
    <col min="13062" max="13062" width="9.66666666666667" style="169" customWidth="1"/>
    <col min="13063" max="13063" width="10" style="169" customWidth="1"/>
    <col min="13064" max="13064" width="14.0666666666667" style="169" customWidth="1"/>
    <col min="13065" max="13308" width="9.06666666666667" style="169"/>
    <col min="13309" max="13309" width="5.6" style="169" customWidth="1"/>
    <col min="13310" max="13310" width="10.8" style="169" customWidth="1"/>
    <col min="13311" max="13311" width="10" style="169" customWidth="1"/>
    <col min="13312" max="13312" width="8.46666666666667" style="169" customWidth="1"/>
    <col min="13313" max="13313" width="7.8" style="169" customWidth="1"/>
    <col min="13314" max="13314" width="6.53333333333333" style="169" customWidth="1"/>
    <col min="13315" max="13315" width="5.8" style="169" customWidth="1"/>
    <col min="13316" max="13316" width="3.13333333333333" style="169" customWidth="1"/>
    <col min="13317" max="13317" width="7.8" style="169" customWidth="1"/>
    <col min="13318" max="13318" width="9.66666666666667" style="169" customWidth="1"/>
    <col min="13319" max="13319" width="10" style="169" customWidth="1"/>
    <col min="13320" max="13320" width="14.0666666666667" style="169" customWidth="1"/>
    <col min="13321" max="13564" width="9.06666666666667" style="169"/>
    <col min="13565" max="13565" width="5.6" style="169" customWidth="1"/>
    <col min="13566" max="13566" width="10.8" style="169" customWidth="1"/>
    <col min="13567" max="13567" width="10" style="169" customWidth="1"/>
    <col min="13568" max="13568" width="8.46666666666667" style="169" customWidth="1"/>
    <col min="13569" max="13569" width="7.8" style="169" customWidth="1"/>
    <col min="13570" max="13570" width="6.53333333333333" style="169" customWidth="1"/>
    <col min="13571" max="13571" width="5.8" style="169" customWidth="1"/>
    <col min="13572" max="13572" width="3.13333333333333" style="169" customWidth="1"/>
    <col min="13573" max="13573" width="7.8" style="169" customWidth="1"/>
    <col min="13574" max="13574" width="9.66666666666667" style="169" customWidth="1"/>
    <col min="13575" max="13575" width="10" style="169" customWidth="1"/>
    <col min="13576" max="13576" width="14.0666666666667" style="169" customWidth="1"/>
    <col min="13577" max="13820" width="9.06666666666667" style="169"/>
    <col min="13821" max="13821" width="5.6" style="169" customWidth="1"/>
    <col min="13822" max="13822" width="10.8" style="169" customWidth="1"/>
    <col min="13823" max="13823" width="10" style="169" customWidth="1"/>
    <col min="13824" max="13824" width="8.46666666666667" style="169" customWidth="1"/>
    <col min="13825" max="13825" width="7.8" style="169" customWidth="1"/>
    <col min="13826" max="13826" width="6.53333333333333" style="169" customWidth="1"/>
    <col min="13827" max="13827" width="5.8" style="169" customWidth="1"/>
    <col min="13828" max="13828" width="3.13333333333333" style="169" customWidth="1"/>
    <col min="13829" max="13829" width="7.8" style="169" customWidth="1"/>
    <col min="13830" max="13830" width="9.66666666666667" style="169" customWidth="1"/>
    <col min="13831" max="13831" width="10" style="169" customWidth="1"/>
    <col min="13832" max="13832" width="14.0666666666667" style="169" customWidth="1"/>
    <col min="13833" max="14076" width="9.06666666666667" style="169"/>
    <col min="14077" max="14077" width="5.6" style="169" customWidth="1"/>
    <col min="14078" max="14078" width="10.8" style="169" customWidth="1"/>
    <col min="14079" max="14079" width="10" style="169" customWidth="1"/>
    <col min="14080" max="14080" width="8.46666666666667" style="169" customWidth="1"/>
    <col min="14081" max="14081" width="7.8" style="169" customWidth="1"/>
    <col min="14082" max="14082" width="6.53333333333333" style="169" customWidth="1"/>
    <col min="14083" max="14083" width="5.8" style="169" customWidth="1"/>
    <col min="14084" max="14084" width="3.13333333333333" style="169" customWidth="1"/>
    <col min="14085" max="14085" width="7.8" style="169" customWidth="1"/>
    <col min="14086" max="14086" width="9.66666666666667" style="169" customWidth="1"/>
    <col min="14087" max="14087" width="10" style="169" customWidth="1"/>
    <col min="14088" max="14088" width="14.0666666666667" style="169" customWidth="1"/>
    <col min="14089" max="14332" width="9.06666666666667" style="169"/>
    <col min="14333" max="14333" width="5.6" style="169" customWidth="1"/>
    <col min="14334" max="14334" width="10.8" style="169" customWidth="1"/>
    <col min="14335" max="14335" width="10" style="169" customWidth="1"/>
    <col min="14336" max="14336" width="8.46666666666667" style="169" customWidth="1"/>
    <col min="14337" max="14337" width="7.8" style="169" customWidth="1"/>
    <col min="14338" max="14338" width="6.53333333333333" style="169" customWidth="1"/>
    <col min="14339" max="14339" width="5.8" style="169" customWidth="1"/>
    <col min="14340" max="14340" width="3.13333333333333" style="169" customWidth="1"/>
    <col min="14341" max="14341" width="7.8" style="169" customWidth="1"/>
    <col min="14342" max="14342" width="9.66666666666667" style="169" customWidth="1"/>
    <col min="14343" max="14343" width="10" style="169" customWidth="1"/>
    <col min="14344" max="14344" width="14.0666666666667" style="169" customWidth="1"/>
    <col min="14345" max="14588" width="9.06666666666667" style="169"/>
    <col min="14589" max="14589" width="5.6" style="169" customWidth="1"/>
    <col min="14590" max="14590" width="10.8" style="169" customWidth="1"/>
    <col min="14591" max="14591" width="10" style="169" customWidth="1"/>
    <col min="14592" max="14592" width="8.46666666666667" style="169" customWidth="1"/>
    <col min="14593" max="14593" width="7.8" style="169" customWidth="1"/>
    <col min="14594" max="14594" width="6.53333333333333" style="169" customWidth="1"/>
    <col min="14595" max="14595" width="5.8" style="169" customWidth="1"/>
    <col min="14596" max="14596" width="3.13333333333333" style="169" customWidth="1"/>
    <col min="14597" max="14597" width="7.8" style="169" customWidth="1"/>
    <col min="14598" max="14598" width="9.66666666666667" style="169" customWidth="1"/>
    <col min="14599" max="14599" width="10" style="169" customWidth="1"/>
    <col min="14600" max="14600" width="14.0666666666667" style="169" customWidth="1"/>
    <col min="14601" max="14844" width="9.06666666666667" style="169"/>
    <col min="14845" max="14845" width="5.6" style="169" customWidth="1"/>
    <col min="14846" max="14846" width="10.8" style="169" customWidth="1"/>
    <col min="14847" max="14847" width="10" style="169" customWidth="1"/>
    <col min="14848" max="14848" width="8.46666666666667" style="169" customWidth="1"/>
    <col min="14849" max="14849" width="7.8" style="169" customWidth="1"/>
    <col min="14850" max="14850" width="6.53333333333333" style="169" customWidth="1"/>
    <col min="14851" max="14851" width="5.8" style="169" customWidth="1"/>
    <col min="14852" max="14852" width="3.13333333333333" style="169" customWidth="1"/>
    <col min="14853" max="14853" width="7.8" style="169" customWidth="1"/>
    <col min="14854" max="14854" width="9.66666666666667" style="169" customWidth="1"/>
    <col min="14855" max="14855" width="10" style="169" customWidth="1"/>
    <col min="14856" max="14856" width="14.0666666666667" style="169" customWidth="1"/>
    <col min="14857" max="15100" width="9.06666666666667" style="169"/>
    <col min="15101" max="15101" width="5.6" style="169" customWidth="1"/>
    <col min="15102" max="15102" width="10.8" style="169" customWidth="1"/>
    <col min="15103" max="15103" width="10" style="169" customWidth="1"/>
    <col min="15104" max="15104" width="8.46666666666667" style="169" customWidth="1"/>
    <col min="15105" max="15105" width="7.8" style="169" customWidth="1"/>
    <col min="15106" max="15106" width="6.53333333333333" style="169" customWidth="1"/>
    <col min="15107" max="15107" width="5.8" style="169" customWidth="1"/>
    <col min="15108" max="15108" width="3.13333333333333" style="169" customWidth="1"/>
    <col min="15109" max="15109" width="7.8" style="169" customWidth="1"/>
    <col min="15110" max="15110" width="9.66666666666667" style="169" customWidth="1"/>
    <col min="15111" max="15111" width="10" style="169" customWidth="1"/>
    <col min="15112" max="15112" width="14.0666666666667" style="169" customWidth="1"/>
    <col min="15113" max="15356" width="9.06666666666667" style="169"/>
    <col min="15357" max="15357" width="5.6" style="169" customWidth="1"/>
    <col min="15358" max="15358" width="10.8" style="169" customWidth="1"/>
    <col min="15359" max="15359" width="10" style="169" customWidth="1"/>
    <col min="15360" max="15360" width="8.46666666666667" style="169" customWidth="1"/>
    <col min="15361" max="15361" width="7.8" style="169" customWidth="1"/>
    <col min="15362" max="15362" width="6.53333333333333" style="169" customWidth="1"/>
    <col min="15363" max="15363" width="5.8" style="169" customWidth="1"/>
    <col min="15364" max="15364" width="3.13333333333333" style="169" customWidth="1"/>
    <col min="15365" max="15365" width="7.8" style="169" customWidth="1"/>
    <col min="15366" max="15366" width="9.66666666666667" style="169" customWidth="1"/>
    <col min="15367" max="15367" width="10" style="169" customWidth="1"/>
    <col min="15368" max="15368" width="14.0666666666667" style="169" customWidth="1"/>
    <col min="15369" max="15612" width="9.06666666666667" style="169"/>
    <col min="15613" max="15613" width="5.6" style="169" customWidth="1"/>
    <col min="15614" max="15614" width="10.8" style="169" customWidth="1"/>
    <col min="15615" max="15615" width="10" style="169" customWidth="1"/>
    <col min="15616" max="15616" width="8.46666666666667" style="169" customWidth="1"/>
    <col min="15617" max="15617" width="7.8" style="169" customWidth="1"/>
    <col min="15618" max="15618" width="6.53333333333333" style="169" customWidth="1"/>
    <col min="15619" max="15619" width="5.8" style="169" customWidth="1"/>
    <col min="15620" max="15620" width="3.13333333333333" style="169" customWidth="1"/>
    <col min="15621" max="15621" width="7.8" style="169" customWidth="1"/>
    <col min="15622" max="15622" width="9.66666666666667" style="169" customWidth="1"/>
    <col min="15623" max="15623" width="10" style="169" customWidth="1"/>
    <col min="15624" max="15624" width="14.0666666666667" style="169" customWidth="1"/>
    <col min="15625" max="15868" width="9.06666666666667" style="169"/>
    <col min="15869" max="15869" width="5.6" style="169" customWidth="1"/>
    <col min="15870" max="15870" width="10.8" style="169" customWidth="1"/>
    <col min="15871" max="15871" width="10" style="169" customWidth="1"/>
    <col min="15872" max="15872" width="8.46666666666667" style="169" customWidth="1"/>
    <col min="15873" max="15873" width="7.8" style="169" customWidth="1"/>
    <col min="15874" max="15874" width="6.53333333333333" style="169" customWidth="1"/>
    <col min="15875" max="15875" width="5.8" style="169" customWidth="1"/>
    <col min="15876" max="15876" width="3.13333333333333" style="169" customWidth="1"/>
    <col min="15877" max="15877" width="7.8" style="169" customWidth="1"/>
    <col min="15878" max="15878" width="9.66666666666667" style="169" customWidth="1"/>
    <col min="15879" max="15879" width="10" style="169" customWidth="1"/>
    <col min="15880" max="15880" width="14.0666666666667" style="169" customWidth="1"/>
    <col min="15881" max="16124" width="9.06666666666667" style="169"/>
    <col min="16125" max="16125" width="5.6" style="169" customWidth="1"/>
    <col min="16126" max="16126" width="10.8" style="169" customWidth="1"/>
    <col min="16127" max="16127" width="10" style="169" customWidth="1"/>
    <col min="16128" max="16128" width="8.46666666666667" style="169" customWidth="1"/>
    <col min="16129" max="16129" width="7.8" style="169" customWidth="1"/>
    <col min="16130" max="16130" width="6.53333333333333" style="169" customWidth="1"/>
    <col min="16131" max="16131" width="5.8" style="169" customWidth="1"/>
    <col min="16132" max="16132" width="3.13333333333333" style="169" customWidth="1"/>
    <col min="16133" max="16133" width="7.8" style="169" customWidth="1"/>
    <col min="16134" max="16134" width="9.66666666666667" style="169" customWidth="1"/>
    <col min="16135" max="16135" width="10" style="169" customWidth="1"/>
    <col min="16136" max="16136" width="14.0666666666667" style="169" customWidth="1"/>
    <col min="16137" max="16384" width="9.06666666666667" style="169"/>
  </cols>
  <sheetData>
    <row r="1" ht="34.15" customHeight="1" spans="1:12">
      <c r="A1" s="171" t="s">
        <v>0</v>
      </c>
      <c r="B1" s="171"/>
      <c r="C1" s="171"/>
      <c r="D1" s="171"/>
      <c r="E1" s="171"/>
      <c r="F1" s="171"/>
      <c r="G1" s="171"/>
      <c r="H1" s="171"/>
    </row>
    <row r="2" ht="30" customHeight="1" spans="1:12">
      <c r="A2" s="172" t="s">
        <v>1</v>
      </c>
      <c r="B2" s="168"/>
      <c r="C2" s="168"/>
      <c r="D2" s="168"/>
      <c r="E2" s="168"/>
      <c r="F2" s="168"/>
      <c r="G2" s="168"/>
      <c r="H2" s="168"/>
    </row>
    <row r="3" ht="33" customHeight="1" spans="1:12">
      <c r="A3" s="171" t="s">
        <v>2</v>
      </c>
      <c r="B3" s="173"/>
      <c r="C3" s="173"/>
      <c r="D3" s="173"/>
      <c r="E3" s="174"/>
      <c r="F3" s="173"/>
      <c r="G3" s="173"/>
      <c r="H3" s="173"/>
    </row>
    <row r="4" ht="113.25" customHeight="1" spans="1:12">
      <c r="A4" s="175" t="s">
        <v>3</v>
      </c>
      <c r="B4" s="176" t="s">
        <v>4</v>
      </c>
      <c r="C4" s="176"/>
      <c r="D4" s="176"/>
      <c r="E4" s="177"/>
      <c r="F4" s="176"/>
      <c r="G4" s="176" t="s">
        <v>5</v>
      </c>
      <c r="H4" s="176"/>
      <c r="L4" s="178"/>
    </row>
    <row r="5" s="168" customFormat="1" ht="57.75" customHeight="1" spans="1:12">
      <c r="A5" s="179" t="s">
        <v>6</v>
      </c>
      <c r="B5" s="179"/>
      <c r="C5" s="179"/>
      <c r="D5" s="179" t="s">
        <v>7</v>
      </c>
      <c r="E5" s="179" t="s">
        <v>8</v>
      </c>
      <c r="F5" s="179" t="s">
        <v>9</v>
      </c>
      <c r="G5" s="180" t="s">
        <v>10</v>
      </c>
      <c r="H5" s="180" t="s">
        <v>11</v>
      </c>
    </row>
    <row r="6" spans="1:12">
      <c r="A6" s="181" t="s">
        <v>12</v>
      </c>
      <c r="B6" s="182"/>
      <c r="C6" s="183"/>
      <c r="D6" s="184" t="str">
        <f>'[2]Packing list'!B8</f>
        <v>Plastic bottle
塑料瓶</v>
      </c>
      <c r="E6" s="185">
        <v>16480</v>
      </c>
      <c r="F6" s="185">
        <v>58</v>
      </c>
      <c r="G6" s="186">
        <v>0.2</v>
      </c>
      <c r="H6" s="187">
        <f>G6*E6</f>
        <v>3296</v>
      </c>
    </row>
    <row r="7" spans="1:12">
      <c r="A7" s="188"/>
      <c r="B7" s="189"/>
      <c r="C7" s="190"/>
      <c r="D7" s="191" t="s">
        <v>13</v>
      </c>
      <c r="E7" s="185">
        <v>13088</v>
      </c>
      <c r="F7" s="185">
        <v>43</v>
      </c>
      <c r="G7" s="186">
        <v>0.3</v>
      </c>
      <c r="H7" s="187">
        <f>G7*E7</f>
        <v>3926.4</v>
      </c>
    </row>
    <row r="8" spans="1:12">
      <c r="A8" s="192"/>
      <c r="B8" s="193"/>
      <c r="C8" s="194"/>
      <c r="D8" s="184" t="str">
        <f>'[2]Packing list'!B10</f>
        <v>Plastic cover 
塑料外盖</v>
      </c>
      <c r="E8" s="185">
        <v>3168</v>
      </c>
      <c r="F8" s="185">
        <v>1</v>
      </c>
      <c r="G8" s="186">
        <v>0.2612</v>
      </c>
      <c r="H8" s="187">
        <f>G8*E8</f>
        <v>827.4816</v>
      </c>
    </row>
    <row r="9" spans="1:12">
      <c r="A9" s="195"/>
      <c r="B9" s="196"/>
      <c r="C9" s="197"/>
      <c r="D9" s="184"/>
      <c r="E9" s="185"/>
      <c r="F9" s="184"/>
      <c r="G9" s="185"/>
      <c r="H9" s="187">
        <f>SUM(H6:H8)</f>
        <v>8049.8816</v>
      </c>
    </row>
    <row r="10" spans="1:12">
      <c r="A10" s="195"/>
      <c r="B10" s="196"/>
      <c r="C10" s="197"/>
      <c r="D10" s="184"/>
      <c r="E10" s="185"/>
      <c r="F10" s="184"/>
      <c r="G10" s="184"/>
      <c r="H10" s="184"/>
    </row>
    <row r="11" spans="1:12">
      <c r="A11" s="195"/>
      <c r="B11" s="196"/>
      <c r="C11" s="197"/>
      <c r="D11" s="184"/>
      <c r="E11" s="185"/>
      <c r="F11" s="184"/>
      <c r="G11" s="184"/>
      <c r="H11" s="184"/>
    </row>
    <row r="12" spans="1:12">
      <c r="A12" s="195"/>
      <c r="B12" s="196"/>
      <c r="C12" s="197"/>
      <c r="D12" s="184"/>
      <c r="E12" s="185"/>
      <c r="F12" s="184"/>
      <c r="G12" s="184"/>
      <c r="H12" s="184"/>
    </row>
    <row r="13" spans="1:12">
      <c r="A13" s="195"/>
      <c r="B13" s="196"/>
      <c r="C13" s="197"/>
      <c r="D13" s="184"/>
      <c r="E13" s="185"/>
      <c r="F13" s="184"/>
      <c r="G13" s="184"/>
      <c r="H13" s="184"/>
    </row>
    <row r="14" spans="1:12">
      <c r="A14" s="195"/>
      <c r="B14" s="196"/>
      <c r="C14" s="197"/>
      <c r="D14" s="184"/>
      <c r="E14" s="185"/>
      <c r="F14" s="184"/>
      <c r="G14" s="184"/>
      <c r="H14" s="184"/>
    </row>
    <row r="15" spans="1:12">
      <c r="A15" s="195"/>
      <c r="B15" s="196"/>
      <c r="C15" s="197"/>
      <c r="D15" s="184"/>
      <c r="E15" s="185"/>
      <c r="F15" s="184"/>
      <c r="G15" s="184"/>
      <c r="H15" s="184"/>
    </row>
    <row r="16" spans="1:12">
      <c r="A16" s="195"/>
      <c r="B16" s="196"/>
      <c r="C16" s="197"/>
      <c r="D16" s="184"/>
      <c r="E16" s="185"/>
      <c r="F16" s="184"/>
      <c r="G16" s="184"/>
      <c r="H16" s="184"/>
    </row>
    <row r="17" spans="1:8">
      <c r="A17" s="195"/>
      <c r="B17" s="196"/>
      <c r="C17" s="197"/>
      <c r="D17" s="184"/>
      <c r="E17" s="185"/>
      <c r="F17" s="184"/>
      <c r="G17" s="184"/>
      <c r="H17" s="184"/>
    </row>
    <row r="18" spans="1:8">
      <c r="A18" s="195"/>
      <c r="B18" s="196"/>
      <c r="C18" s="197"/>
      <c r="D18" s="184"/>
      <c r="E18" s="185"/>
      <c r="F18" s="184"/>
      <c r="G18" s="184"/>
      <c r="H18" s="184"/>
    </row>
    <row r="19" spans="1:8">
      <c r="A19" s="195"/>
      <c r="B19" s="196"/>
      <c r="C19" s="197"/>
      <c r="D19" s="184"/>
      <c r="E19" s="185"/>
      <c r="F19" s="184"/>
      <c r="G19" s="184"/>
      <c r="H19" s="184"/>
    </row>
    <row r="20" spans="1:8">
      <c r="A20" s="195"/>
      <c r="B20" s="196"/>
      <c r="C20" s="197"/>
      <c r="D20" s="184"/>
      <c r="E20" s="185"/>
      <c r="F20" s="184"/>
      <c r="G20" s="184"/>
      <c r="H20" s="184"/>
    </row>
    <row r="21" spans="1:8">
      <c r="A21" s="195"/>
      <c r="B21" s="196"/>
      <c r="C21" s="197"/>
      <c r="D21" s="184"/>
      <c r="E21" s="185"/>
      <c r="F21" s="184"/>
      <c r="G21" s="184"/>
      <c r="H21" s="184"/>
    </row>
    <row r="22" spans="1:8">
      <c r="A22" s="195"/>
      <c r="B22" s="196"/>
      <c r="C22" s="197"/>
      <c r="D22" s="184"/>
      <c r="E22" s="185"/>
      <c r="F22" s="184"/>
      <c r="G22" s="184"/>
      <c r="H22" s="184"/>
    </row>
    <row r="23" spans="1:8">
      <c r="A23" s="195"/>
      <c r="B23" s="196"/>
      <c r="C23" s="197"/>
      <c r="D23" s="184"/>
      <c r="E23" s="185"/>
      <c r="F23" s="184"/>
      <c r="G23" s="184"/>
      <c r="H23" s="184"/>
    </row>
    <row r="24" spans="1:8">
      <c r="A24" s="195"/>
      <c r="B24" s="196"/>
      <c r="C24" s="197"/>
      <c r="D24" s="184"/>
      <c r="E24" s="185"/>
      <c r="F24" s="184"/>
      <c r="G24" s="184"/>
      <c r="H24" s="184"/>
    </row>
  </sheetData>
  <mergeCells count="23">
    <mergeCell ref="A1:H1"/>
    <mergeCell ref="A2:H2"/>
    <mergeCell ref="A3:H3"/>
    <mergeCell ref="B4:F4"/>
    <mergeCell ref="G4:H4"/>
    <mergeCell ref="A5:C5"/>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6:C8"/>
  </mergeCells>
  <pageMargins left="0.7" right="0.7" top="0.75" bottom="0.75" header="0.3" footer="0.3"/>
  <pageSetup paperSize="9" scale="84"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7"/>
  <sheetViews>
    <sheetView tabSelected="1" workbookViewId="0">
      <selection activeCell="Q26" sqref="Q26"/>
    </sheetView>
  </sheetViews>
  <sheetFormatPr defaultColWidth="12.2666666666667" defaultRowHeight="12.75"/>
  <cols>
    <col min="1" max="1" width="6.13333333333333" style="139" customWidth="1"/>
    <col min="2" max="2" width="19.3333333333333" style="139" customWidth="1"/>
    <col min="3" max="3" width="12.2666666666667" style="139"/>
    <col min="4" max="4" width="15.7333333333333" style="139" hidden="1" customWidth="1"/>
    <col min="5" max="10" width="12.2666666666667" style="139" hidden="1" customWidth="1"/>
    <col min="11" max="16384" width="12.2666666666667" style="139"/>
  </cols>
  <sheetData>
    <row r="1" ht="50.75" customHeight="1" spans="1:16">
      <c r="A1" s="140" t="s">
        <v>14</v>
      </c>
      <c r="B1" s="141"/>
      <c r="C1" s="141"/>
      <c r="D1" s="141"/>
      <c r="E1" s="141"/>
      <c r="F1" s="141"/>
      <c r="G1" s="141"/>
      <c r="H1" s="141"/>
      <c r="I1" s="141"/>
      <c r="J1" s="141"/>
      <c r="K1" s="141"/>
      <c r="L1" s="141"/>
      <c r="M1" s="141"/>
      <c r="N1" s="141"/>
    </row>
    <row r="2" ht="20.65" customHeight="1" spans="1:16">
      <c r="A2" s="142" t="s">
        <v>15</v>
      </c>
      <c r="B2" s="142"/>
      <c r="C2" s="142"/>
      <c r="D2" s="142"/>
      <c r="E2" s="142"/>
      <c r="F2" s="142"/>
      <c r="G2" s="142"/>
      <c r="H2" s="142"/>
      <c r="I2" s="142"/>
      <c r="J2" s="142"/>
      <c r="K2" s="142"/>
      <c r="L2" s="142"/>
      <c r="M2" s="142"/>
      <c r="N2" s="142"/>
    </row>
    <row r="3" ht="13.15" customHeight="1" spans="1:16">
      <c r="A3" s="143" t="s">
        <v>3</v>
      </c>
      <c r="B3" s="144" t="s">
        <v>16</v>
      </c>
      <c r="C3" s="144"/>
      <c r="D3" s="144"/>
      <c r="E3" s="144"/>
      <c r="F3" s="144"/>
      <c r="G3" s="144"/>
      <c r="H3" s="144"/>
      <c r="I3" s="144"/>
      <c r="J3" s="145" t="s">
        <v>17</v>
      </c>
      <c r="K3" s="145"/>
      <c r="L3" s="145"/>
      <c r="M3" s="145"/>
      <c r="N3" s="145"/>
    </row>
    <row r="4" ht="93" customHeight="1" spans="1:16">
      <c r="A4" s="143"/>
      <c r="B4" s="144"/>
      <c r="C4" s="144"/>
      <c r="D4" s="144"/>
      <c r="E4" s="144"/>
      <c r="F4" s="144"/>
      <c r="G4" s="144"/>
      <c r="H4" s="144"/>
      <c r="I4" s="144"/>
      <c r="J4" s="145"/>
      <c r="K4" s="145"/>
      <c r="L4" s="145"/>
      <c r="M4" s="145"/>
      <c r="N4" s="145"/>
    </row>
    <row r="5" spans="1:16">
      <c r="A5" s="146"/>
      <c r="B5" s="146"/>
      <c r="C5" s="146"/>
      <c r="D5" s="146"/>
      <c r="E5" s="147"/>
      <c r="F5" s="147"/>
      <c r="G5" s="147"/>
      <c r="H5" s="147"/>
      <c r="I5" s="147"/>
      <c r="J5" s="148" t="s">
        <v>18</v>
      </c>
      <c r="K5" s="148" t="s">
        <v>18</v>
      </c>
      <c r="L5" s="148" t="s">
        <v>18</v>
      </c>
      <c r="M5" s="148" t="s">
        <v>18</v>
      </c>
    </row>
    <row r="6" spans="1:16">
      <c r="A6" s="149"/>
      <c r="B6" s="149"/>
      <c r="C6" s="149"/>
      <c r="D6" s="150" t="s">
        <v>19</v>
      </c>
      <c r="E6" s="151"/>
      <c r="F6" s="151"/>
      <c r="G6" s="151"/>
      <c r="H6" s="151"/>
      <c r="I6" s="151"/>
      <c r="J6" s="152"/>
      <c r="K6" s="150" t="s">
        <v>20</v>
      </c>
      <c r="L6" s="151"/>
      <c r="M6" s="151"/>
      <c r="N6" s="152"/>
      <c r="P6" s="153"/>
    </row>
    <row r="7" ht="39" customHeight="1" spans="1:16">
      <c r="A7" s="149" t="s">
        <v>21</v>
      </c>
      <c r="B7" s="149" t="s">
        <v>22</v>
      </c>
      <c r="C7" s="149" t="s">
        <v>23</v>
      </c>
      <c r="D7" s="149" t="s">
        <v>24</v>
      </c>
      <c r="E7" s="150" t="s">
        <v>25</v>
      </c>
      <c r="F7" s="151"/>
      <c r="G7" s="152"/>
      <c r="H7" s="154" t="s">
        <v>26</v>
      </c>
      <c r="I7" s="149" t="s">
        <v>27</v>
      </c>
      <c r="J7" s="149" t="s">
        <v>28</v>
      </c>
      <c r="K7" s="149" t="s">
        <v>29</v>
      </c>
      <c r="L7" s="149" t="s">
        <v>30</v>
      </c>
      <c r="M7" s="149" t="s">
        <v>31</v>
      </c>
      <c r="N7" s="149" t="s">
        <v>32</v>
      </c>
    </row>
    <row r="8" spans="1:16">
      <c r="A8" s="155">
        <v>1</v>
      </c>
      <c r="B8" s="156" t="s">
        <v>33</v>
      </c>
      <c r="C8" s="157">
        <f>Invoice!E6</f>
        <v>16480</v>
      </c>
      <c r="D8" s="157"/>
      <c r="E8" s="158"/>
      <c r="F8" s="158"/>
      <c r="G8" s="158"/>
      <c r="H8" s="159"/>
      <c r="I8" s="160"/>
      <c r="J8" s="160"/>
      <c r="K8" s="161">
        <f>Invoice!F6</f>
        <v>58</v>
      </c>
      <c r="L8" s="160">
        <f>M8-K8</f>
        <v>489.2</v>
      </c>
      <c r="M8" s="160">
        <v>547.2</v>
      </c>
      <c r="N8" s="162">
        <v>6.6</v>
      </c>
    </row>
    <row r="9" spans="1:16">
      <c r="A9" s="155">
        <v>2</v>
      </c>
      <c r="B9" s="163" t="s">
        <v>34</v>
      </c>
      <c r="C9" s="157">
        <f>Invoice!E7</f>
        <v>13088</v>
      </c>
      <c r="D9" s="157"/>
      <c r="E9" s="158"/>
      <c r="F9" s="158"/>
      <c r="G9" s="158"/>
      <c r="H9" s="159"/>
      <c r="I9" s="160"/>
      <c r="J9" s="160"/>
      <c r="K9" s="161">
        <f>Invoice!F7</f>
        <v>43</v>
      </c>
      <c r="L9" s="160">
        <f>M9-K9</f>
        <v>377</v>
      </c>
      <c r="M9" s="160">
        <v>420</v>
      </c>
      <c r="N9" s="162">
        <v>3.1</v>
      </c>
    </row>
    <row r="10" ht="17" customHeight="1" spans="1:16">
      <c r="A10" s="155">
        <v>3</v>
      </c>
      <c r="B10" s="156" t="s">
        <v>35</v>
      </c>
      <c r="C10" s="157">
        <f>Invoice!E8</f>
        <v>3168</v>
      </c>
      <c r="D10" s="157"/>
      <c r="E10" s="158"/>
      <c r="F10" s="158"/>
      <c r="G10" s="158"/>
      <c r="H10" s="159"/>
      <c r="I10" s="160"/>
      <c r="J10" s="160"/>
      <c r="K10" s="161">
        <f>Invoice!F8</f>
        <v>1</v>
      </c>
      <c r="L10" s="160">
        <f>M10-K10</f>
        <v>11.6</v>
      </c>
      <c r="M10" s="160">
        <v>12.6</v>
      </c>
      <c r="N10" s="162">
        <v>0.17</v>
      </c>
    </row>
    <row r="11" ht="26.25" customHeight="1" spans="1:16">
      <c r="A11" s="164" t="s">
        <v>20</v>
      </c>
      <c r="B11" s="164"/>
      <c r="C11" s="164"/>
      <c r="D11" s="164"/>
      <c r="E11" s="164"/>
      <c r="F11" s="164"/>
      <c r="G11" s="164"/>
      <c r="H11" s="164"/>
      <c r="I11" s="164"/>
      <c r="J11" s="164"/>
      <c r="K11" s="165">
        <f>SUM(K8:K10)</f>
        <v>102</v>
      </c>
      <c r="L11" s="160">
        <f>SUM(L8:L10)</f>
        <v>877.8</v>
      </c>
      <c r="M11" s="166">
        <f>SUM(M8:M10)</f>
        <v>979.8</v>
      </c>
      <c r="N11" s="162">
        <f>SUM(N8:N10)</f>
        <v>9.87</v>
      </c>
    </row>
    <row r="13" spans="1:16">
      <c r="A13" s="167" t="s">
        <v>36</v>
      </c>
    </row>
    <row r="14" spans="1:16">
      <c r="A14" s="167" t="s">
        <v>37</v>
      </c>
    </row>
    <row r="15" spans="1:16">
      <c r="A15" s="167" t="s">
        <v>38</v>
      </c>
    </row>
    <row r="16" spans="1:16">
      <c r="A16" s="167" t="s">
        <v>39</v>
      </c>
    </row>
    <row r="17" spans="1:1">
      <c r="A17" s="167" t="s">
        <v>40</v>
      </c>
    </row>
  </sheetData>
  <mergeCells count="10">
    <mergeCell ref="A1:N1"/>
    <mergeCell ref="A2:N2"/>
    <mergeCell ref="A5:D5"/>
    <mergeCell ref="D6:J6"/>
    <mergeCell ref="K6:N6"/>
    <mergeCell ref="E7:G7"/>
    <mergeCell ref="A11:J11"/>
    <mergeCell ref="A3:A4"/>
    <mergeCell ref="J3:N4"/>
    <mergeCell ref="B3:I4"/>
  </mergeCells>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workbookViewId="0">
      <selection activeCell="A1" sqref="A1:E1"/>
    </sheetView>
  </sheetViews>
  <sheetFormatPr defaultColWidth="9.33333333333333" defaultRowHeight="14.25"/>
  <cols>
    <col min="1" max="1" width="36" style="103" customWidth="1"/>
    <col min="2" max="2" width="17.3333333333333" style="104" customWidth="1"/>
    <col min="3" max="3" width="14.8" style="103" customWidth="1"/>
    <col min="4" max="4" width="16.9333333333333" style="105" customWidth="1"/>
    <col min="5" max="5" width="14.6666666666667" style="105" customWidth="1"/>
    <col min="6" max="6" width="9.6" style="105" customWidth="1"/>
    <col min="7" max="16384" width="9.33333333333333" style="106"/>
  </cols>
  <sheetData>
    <row r="1" ht="57.75" customHeight="1" spans="1:6">
      <c r="A1" s="107" t="s">
        <v>41</v>
      </c>
      <c r="B1" s="108"/>
      <c r="C1" s="108"/>
      <c r="D1" s="108"/>
      <c r="E1" s="108"/>
    </row>
    <row r="2" ht="20.1" hidden="1" customHeight="1" spans="1:6">
      <c r="A2" s="109"/>
      <c r="B2" s="110"/>
      <c r="C2" s="110"/>
      <c r="D2" s="110"/>
      <c r="E2" s="110"/>
    </row>
    <row r="3" s="101" customFormat="1" ht="27" spans="1:6">
      <c r="A3" s="111" t="s">
        <v>42</v>
      </c>
      <c r="B3" s="111"/>
      <c r="C3" s="111"/>
      <c r="D3" s="111"/>
      <c r="E3" s="111"/>
      <c r="F3" s="112"/>
    </row>
    <row r="4" s="101" customFormat="1" ht="27" spans="1:6">
      <c r="A4" s="108" t="s">
        <v>43</v>
      </c>
      <c r="B4" s="108"/>
      <c r="C4" s="108"/>
      <c r="D4" s="108"/>
      <c r="E4" s="108"/>
      <c r="F4" s="112"/>
    </row>
    <row r="5" s="102" customFormat="1" ht="12.75" spans="1:6">
      <c r="A5" s="113" t="s">
        <v>44</v>
      </c>
      <c r="B5" s="113"/>
      <c r="C5" s="113"/>
      <c r="D5" s="114" t="s">
        <v>45</v>
      </c>
      <c r="E5" s="114"/>
      <c r="F5" s="113"/>
    </row>
    <row r="6" s="102" customFormat="1" ht="12.75" spans="1:6">
      <c r="A6" s="115" t="s">
        <v>46</v>
      </c>
      <c r="B6" s="113"/>
      <c r="C6" s="113"/>
      <c r="D6" s="116" t="s">
        <v>47</v>
      </c>
      <c r="E6" s="116"/>
      <c r="F6" s="113"/>
    </row>
    <row r="7" s="102" customFormat="1" ht="12.75" spans="1:6">
      <c r="A7" s="115" t="s">
        <v>48</v>
      </c>
      <c r="B7" s="113"/>
      <c r="C7" s="113"/>
      <c r="D7" s="113"/>
      <c r="E7" s="113"/>
      <c r="F7" s="113"/>
    </row>
    <row r="8" s="102" customFormat="1" ht="25.5" spans="1:6">
      <c r="A8" s="117" t="s">
        <v>49</v>
      </c>
      <c r="B8" s="117" t="s">
        <v>50</v>
      </c>
      <c r="C8" s="118" t="s">
        <v>51</v>
      </c>
      <c r="D8" s="117" t="s">
        <v>52</v>
      </c>
      <c r="E8" s="117" t="s">
        <v>53</v>
      </c>
      <c r="F8" s="119"/>
    </row>
    <row r="9" s="102" customFormat="1" ht="12.75" spans="1:6">
      <c r="A9" s="120"/>
      <c r="B9" s="121"/>
      <c r="C9" s="117"/>
      <c r="D9" s="122"/>
      <c r="E9" s="123"/>
      <c r="F9" s="119"/>
    </row>
    <row r="10" s="102" customFormat="1" ht="12.75" spans="1:6">
      <c r="A10" s="124"/>
      <c r="B10" s="121"/>
      <c r="C10" s="117"/>
      <c r="D10" s="122"/>
      <c r="E10" s="123"/>
      <c r="F10" s="119"/>
    </row>
    <row r="11" s="102" customFormat="1" ht="12.75" spans="1:6">
      <c r="A11" s="124"/>
      <c r="B11" s="121"/>
      <c r="C11" s="117"/>
      <c r="D11" s="122"/>
      <c r="E11" s="125"/>
      <c r="F11" s="119"/>
    </row>
    <row r="12" s="102" customFormat="1" ht="12.75" spans="1:6">
      <c r="A12" s="124"/>
      <c r="B12" s="124"/>
      <c r="C12" s="117"/>
      <c r="D12" s="122"/>
      <c r="E12" s="125"/>
      <c r="F12" s="119"/>
    </row>
    <row r="13" s="102" customFormat="1" ht="12.75" spans="1:6">
      <c r="A13" s="124"/>
      <c r="B13" s="124"/>
      <c r="C13" s="117"/>
      <c r="D13" s="122"/>
      <c r="E13" s="125"/>
      <c r="F13" s="119"/>
    </row>
    <row r="14" s="102" customFormat="1" ht="12.75" spans="1:6">
      <c r="A14" s="124"/>
      <c r="B14" s="124"/>
      <c r="C14" s="117"/>
      <c r="D14" s="122"/>
      <c r="E14" s="125"/>
      <c r="F14" s="119"/>
    </row>
    <row r="15" s="102" customFormat="1" ht="12.75" spans="1:6">
      <c r="A15" s="117"/>
      <c r="B15" s="117"/>
      <c r="C15" s="118"/>
      <c r="D15" s="126"/>
      <c r="E15" s="127">
        <f>SUM(E9:E14)</f>
        <v>0</v>
      </c>
      <c r="F15" s="119"/>
    </row>
    <row r="16" s="102" customFormat="1" ht="12.75" spans="1:6">
      <c r="A16" s="128" t="s">
        <v>54</v>
      </c>
      <c r="B16" s="128"/>
      <c r="C16" s="128" t="s">
        <v>55</v>
      </c>
      <c r="D16" s="113"/>
      <c r="E16" s="113"/>
      <c r="F16" s="113"/>
    </row>
    <row r="17" s="102" customFormat="1" ht="12.75" spans="1:14">
      <c r="A17" s="128" t="s">
        <v>56</v>
      </c>
      <c r="B17" s="128"/>
      <c r="C17" s="115" t="s">
        <v>57</v>
      </c>
      <c r="D17" s="113"/>
      <c r="E17" s="128"/>
      <c r="F17" s="113"/>
    </row>
    <row r="18" s="102" customFormat="1" ht="12.75" spans="1:14">
      <c r="A18" s="128" t="s">
        <v>58</v>
      </c>
      <c r="B18" s="128"/>
      <c r="C18" s="128" t="s">
        <v>59</v>
      </c>
      <c r="D18" s="113"/>
      <c r="E18" s="128"/>
      <c r="F18" s="113"/>
    </row>
    <row r="19" s="102" customFormat="1" ht="12.75" spans="1:14">
      <c r="A19" s="128" t="s">
        <v>60</v>
      </c>
      <c r="B19" s="128"/>
      <c r="C19" s="129" t="s">
        <v>61</v>
      </c>
      <c r="D19" s="113"/>
      <c r="E19" s="113"/>
      <c r="F19" s="113"/>
    </row>
    <row r="20" s="102" customFormat="1" ht="96.75" customHeight="1" spans="1:14">
      <c r="A20" s="130" t="s">
        <v>62</v>
      </c>
      <c r="B20" s="130"/>
      <c r="C20" s="130"/>
      <c r="D20" s="130"/>
      <c r="E20" s="130"/>
      <c r="F20" s="113"/>
    </row>
    <row r="21" s="102" customFormat="1" ht="12.75" spans="1:14">
      <c r="A21" s="128"/>
      <c r="B21" s="131"/>
      <c r="C21" s="132"/>
      <c r="D21" s="113"/>
      <c r="E21" s="113"/>
      <c r="F21" s="113"/>
    </row>
    <row r="22" s="102" customFormat="1" ht="16.5" spans="1:14">
      <c r="A22" s="128" t="s">
        <v>63</v>
      </c>
      <c r="B22" s="115"/>
      <c r="C22" s="115"/>
      <c r="D22" s="115"/>
      <c r="E22" s="113"/>
      <c r="F22" s="113"/>
    </row>
    <row r="23" s="102" customFormat="1" ht="12.75" spans="1:14">
      <c r="A23" s="128" t="s">
        <v>64</v>
      </c>
      <c r="B23" s="115"/>
      <c r="C23" s="115"/>
      <c r="D23" s="115"/>
      <c r="E23" s="115"/>
      <c r="F23" s="113"/>
    </row>
    <row r="24" s="102" customFormat="1" ht="12.75" spans="1:14">
      <c r="A24" s="128"/>
      <c r="B24" s="115"/>
      <c r="C24" s="115"/>
      <c r="D24" s="115"/>
      <c r="E24" s="115"/>
      <c r="F24" s="113"/>
    </row>
    <row r="25" s="102" customFormat="1" ht="12.75" spans="1:14">
      <c r="A25" s="133"/>
      <c r="B25" s="133"/>
      <c r="C25" s="133"/>
      <c r="D25" s="133"/>
      <c r="E25" s="133"/>
      <c r="F25" s="133"/>
    </row>
    <row r="26" s="102" customFormat="1" ht="12.75" spans="1:14">
      <c r="A26" s="133" t="s">
        <v>65</v>
      </c>
      <c r="B26" s="133"/>
      <c r="C26" s="134" t="s">
        <v>66</v>
      </c>
      <c r="D26" s="113"/>
      <c r="E26" s="113"/>
      <c r="F26" s="113"/>
    </row>
    <row r="27" s="102" customFormat="1" ht="12.75" spans="1:14">
      <c r="A27" s="133" t="s">
        <v>67</v>
      </c>
      <c r="B27" s="113"/>
      <c r="C27" s="133" t="s">
        <v>68</v>
      </c>
      <c r="D27" s="113"/>
      <c r="E27" s="113"/>
      <c r="F27" s="113"/>
    </row>
    <row r="28" s="102" customFormat="1" ht="12.75" spans="1:14">
      <c r="A28" s="113"/>
      <c r="B28" s="113"/>
      <c r="C28" s="113"/>
      <c r="D28" s="113"/>
      <c r="E28" s="113"/>
      <c r="F28" s="113"/>
    </row>
    <row r="29" s="102" customFormat="1" ht="12.75" spans="1:14">
      <c r="A29" s="113"/>
      <c r="B29" s="113"/>
      <c r="C29" s="113"/>
      <c r="D29" s="113"/>
      <c r="E29" s="113"/>
      <c r="F29" s="113"/>
    </row>
    <row r="31" spans="1:14">
      <c r="G31" s="135"/>
      <c r="H31" s="128"/>
      <c r="I31" s="128"/>
      <c r="J31" s="128"/>
      <c r="K31" s="115"/>
      <c r="L31" s="136"/>
      <c r="M31" s="136"/>
      <c r="N31" s="128"/>
    </row>
    <row r="32" spans="1:14">
      <c r="G32" s="135"/>
      <c r="H32" s="128"/>
      <c r="I32" s="128"/>
      <c r="J32" s="128"/>
      <c r="K32" s="115"/>
      <c r="L32" s="136"/>
      <c r="M32" s="136"/>
      <c r="N32" s="128"/>
    </row>
    <row r="33" spans="7:14">
      <c r="G33" s="135"/>
      <c r="H33" s="128"/>
      <c r="I33" s="128"/>
      <c r="J33" s="128"/>
      <c r="K33" s="115"/>
      <c r="L33" s="136"/>
      <c r="M33" s="136"/>
      <c r="N33" s="128"/>
    </row>
    <row r="34" spans="7:14">
      <c r="G34" s="137"/>
      <c r="H34" s="137"/>
      <c r="I34" s="137"/>
      <c r="J34" s="137"/>
      <c r="K34" s="137"/>
      <c r="L34" s="137"/>
      <c r="M34" s="137"/>
      <c r="N34" s="137"/>
    </row>
    <row r="35" spans="7:14">
      <c r="G35" s="137"/>
      <c r="H35" s="137"/>
      <c r="I35" s="137"/>
      <c r="J35" s="137"/>
      <c r="K35" s="137"/>
      <c r="L35" s="137"/>
      <c r="M35" s="137"/>
      <c r="N35" s="137"/>
    </row>
    <row r="36" spans="7:14">
      <c r="G36" s="137"/>
      <c r="H36" s="137"/>
      <c r="I36" s="137"/>
      <c r="J36" s="137"/>
      <c r="K36" s="137"/>
      <c r="L36" s="137"/>
      <c r="M36" s="137"/>
      <c r="N36" s="137"/>
    </row>
    <row r="37" spans="7:14">
      <c r="G37" s="138"/>
      <c r="H37" s="138"/>
      <c r="I37" s="138"/>
      <c r="J37" s="138"/>
      <c r="K37" s="138"/>
      <c r="L37" s="138"/>
      <c r="M37" s="138"/>
      <c r="N37" s="138"/>
    </row>
    <row r="38" spans="7:14">
      <c r="G38" s="138"/>
      <c r="H38" s="138"/>
      <c r="I38" s="138"/>
      <c r="J38" s="138"/>
      <c r="K38" s="138"/>
      <c r="L38" s="138"/>
      <c r="M38" s="138"/>
      <c r="N38" s="138"/>
    </row>
  </sheetData>
  <mergeCells count="8">
    <mergeCell ref="A1:E1"/>
    <mergeCell ref="A2:E2"/>
    <mergeCell ref="A3:E3"/>
    <mergeCell ref="A4:E4"/>
    <mergeCell ref="D5:E5"/>
    <mergeCell ref="D6:E6"/>
    <mergeCell ref="A20:E20"/>
    <mergeCell ref="G37:N37"/>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workbookViewId="0">
      <selection activeCell="A1" sqref="A1:L1"/>
    </sheetView>
  </sheetViews>
  <sheetFormatPr defaultColWidth="8.66666666666667" defaultRowHeight="14.25"/>
  <cols>
    <col min="1" max="1" width="9.4" style="4" customWidth="1"/>
    <col min="2" max="2" width="18.4" style="4" customWidth="1"/>
    <col min="3" max="3" width="15.7333333333333" style="4" customWidth="1"/>
    <col min="4" max="4" width="15.0666666666667" style="4" customWidth="1"/>
    <col min="5" max="5" width="12.6666666666667" style="4" customWidth="1"/>
    <col min="6" max="6" width="15.4666666666667" style="4" customWidth="1"/>
    <col min="7" max="7" width="12.5333333333333" style="4" customWidth="1"/>
    <col min="8" max="8" width="5.6" style="4" customWidth="1"/>
    <col min="9" max="9" width="8.26666666666667" style="4" customWidth="1"/>
    <col min="10" max="10" width="10.8" style="4" customWidth="1"/>
    <col min="11" max="11" width="9.8" style="4" customWidth="1"/>
    <col min="12" max="12" width="9.6" style="4" customWidth="1"/>
    <col min="13" max="13" width="0.933333333333333" style="4" customWidth="1"/>
    <col min="14" max="16384" width="8.66666666666667" style="4"/>
  </cols>
  <sheetData>
    <row r="1" ht="18.75" spans="1:12">
      <c r="A1" s="5" t="s">
        <v>69</v>
      </c>
      <c r="B1" s="6"/>
      <c r="C1" s="6"/>
      <c r="D1" s="6"/>
      <c r="E1" s="6"/>
      <c r="F1" s="6"/>
      <c r="G1" s="6"/>
      <c r="H1" s="6"/>
      <c r="I1" s="6"/>
      <c r="J1" s="6"/>
      <c r="K1" s="6"/>
      <c r="L1" s="6"/>
    </row>
    <row r="2" spans="1:12">
      <c r="A2" s="4" t="s">
        <v>70</v>
      </c>
      <c r="J2" s="7" t="str">
        <f>([1]输入表格!B28)</f>
        <v>进仓编号：</v>
      </c>
    </row>
    <row r="3" s="1" customFormat="1" ht="28.5" spans="1:12">
      <c r="A3" s="8" t="s">
        <v>71</v>
      </c>
      <c r="B3" s="9"/>
      <c r="C3" s="8" t="s">
        <v>72</v>
      </c>
      <c r="D3" s="9"/>
      <c r="E3" s="8" t="s">
        <v>73</v>
      </c>
      <c r="F3" s="9"/>
      <c r="G3" s="8" t="s">
        <v>74</v>
      </c>
      <c r="H3" s="9"/>
      <c r="I3" s="10"/>
      <c r="J3" s="9" t="s">
        <v>75</v>
      </c>
      <c r="K3" s="9"/>
      <c r="L3" s="10"/>
    </row>
    <row r="4" s="2" customFormat="1" spans="1:12">
      <c r="A4" s="11" t="str">
        <f>([1]输入表格!B11)</f>
        <v>宁波奉化广翰进出口有限公司91330283MABPU9X91B</v>
      </c>
      <c r="B4" s="12"/>
      <c r="C4" s="13">
        <f>([1]输入表格!B16)</f>
        <v>0</v>
      </c>
      <c r="D4" s="14"/>
      <c r="E4" s="15"/>
      <c r="F4" s="16"/>
      <c r="G4" s="17"/>
      <c r="H4" s="18"/>
      <c r="I4" s="19"/>
      <c r="J4" s="16"/>
      <c r="K4" s="16"/>
      <c r="L4" s="20"/>
    </row>
    <row r="5" s="1" customFormat="1" spans="1:12">
      <c r="A5" s="21" t="s">
        <v>76</v>
      </c>
      <c r="B5" s="22"/>
      <c r="C5" s="8" t="s">
        <v>77</v>
      </c>
      <c r="D5" s="9"/>
      <c r="E5" s="8" t="s">
        <v>78</v>
      </c>
      <c r="F5" s="9"/>
      <c r="G5" s="23" t="s">
        <v>79</v>
      </c>
      <c r="H5" s="24"/>
      <c r="I5" s="24"/>
      <c r="J5" s="9"/>
      <c r="K5" s="9"/>
      <c r="L5" s="10"/>
    </row>
    <row r="6" s="2" customFormat="1" spans="1:12">
      <c r="A6" s="11"/>
      <c r="B6" s="12"/>
      <c r="C6" s="13" t="str">
        <f>([1]输入表格!B29)</f>
        <v>航空运输</v>
      </c>
      <c r="D6" s="14"/>
      <c r="E6" s="15">
        <f>([1]输入表格!B25)</f>
        <v>0</v>
      </c>
      <c r="F6" s="16"/>
      <c r="G6" s="13">
        <f>([1]输入表格!B26)</f>
        <v>0</v>
      </c>
      <c r="H6" s="14"/>
      <c r="I6" s="14"/>
      <c r="J6" s="14"/>
      <c r="K6" s="14"/>
      <c r="L6" s="25"/>
    </row>
    <row r="7" s="1" customFormat="1" spans="1:12">
      <c r="A7" s="8" t="s">
        <v>80</v>
      </c>
      <c r="B7" s="9"/>
      <c r="C7" s="8" t="s">
        <v>81</v>
      </c>
      <c r="D7" s="9"/>
      <c r="E7" s="8" t="s">
        <v>82</v>
      </c>
      <c r="F7" s="9"/>
      <c r="G7" s="8" t="s">
        <v>83</v>
      </c>
      <c r="H7" s="9"/>
      <c r="I7" s="9"/>
      <c r="J7" s="9"/>
      <c r="K7" s="9"/>
      <c r="L7" s="10"/>
    </row>
    <row r="8" s="2" customFormat="1" spans="1:12">
      <c r="A8" s="11" t="str">
        <f>([1]输入表格!B14)</f>
        <v>宁波奉化广翰进出口有限公司91330283MABPU9X91B</v>
      </c>
      <c r="B8" s="12"/>
      <c r="C8" s="13" t="s">
        <v>84</v>
      </c>
      <c r="D8" s="14"/>
      <c r="E8" s="13" t="s">
        <v>85</v>
      </c>
      <c r="F8" s="14"/>
      <c r="G8" s="15"/>
      <c r="H8" s="16"/>
      <c r="I8" s="16"/>
      <c r="J8" s="16"/>
      <c r="K8" s="16"/>
      <c r="L8" s="20"/>
    </row>
    <row r="9" s="1" customFormat="1" ht="42.75" spans="1:12">
      <c r="A9" s="21" t="s">
        <v>86</v>
      </c>
      <c r="B9" s="26">
        <f>[1]输入表格!B17</f>
        <v>0</v>
      </c>
      <c r="C9" s="8" t="s">
        <v>87</v>
      </c>
      <c r="D9" s="27"/>
      <c r="E9" s="8" t="s">
        <v>88</v>
      </c>
      <c r="F9" s="27"/>
      <c r="G9" s="8" t="s">
        <v>89</v>
      </c>
      <c r="H9" s="28"/>
      <c r="I9" s="29"/>
      <c r="J9" s="22" t="s">
        <v>90</v>
      </c>
      <c r="K9" s="30"/>
      <c r="L9" s="31"/>
    </row>
    <row r="10" s="1" customFormat="1" ht="42.75" spans="1:12">
      <c r="A10" s="32" t="s">
        <v>91</v>
      </c>
      <c r="B10" s="32" t="s">
        <v>92</v>
      </c>
      <c r="C10" s="33" t="s">
        <v>93</v>
      </c>
      <c r="D10" s="33" t="s">
        <v>94</v>
      </c>
      <c r="E10" s="33" t="s">
        <v>95</v>
      </c>
      <c r="F10" s="8" t="s">
        <v>96</v>
      </c>
      <c r="G10" s="34" t="s">
        <v>97</v>
      </c>
      <c r="H10" s="35"/>
      <c r="I10" s="35"/>
      <c r="J10" s="34" t="s">
        <v>98</v>
      </c>
      <c r="K10" s="35"/>
      <c r="L10" s="36" t="s">
        <v>99</v>
      </c>
    </row>
    <row r="11" s="1" customFormat="1" spans="1:12">
      <c r="A11" s="37" t="str">
        <f>([1]输入表格!F9)</f>
        <v>纸箱</v>
      </c>
      <c r="B11" s="38"/>
      <c r="C11" s="37">
        <f>1</f>
        <v>1</v>
      </c>
      <c r="D11" s="37">
        <v>67.5</v>
      </c>
      <c r="E11" s="37">
        <v>65</v>
      </c>
      <c r="F11" s="23" t="s">
        <v>100</v>
      </c>
      <c r="G11" s="39">
        <v>0</v>
      </c>
      <c r="H11" s="40"/>
      <c r="I11" s="40"/>
      <c r="J11" s="39">
        <v>0</v>
      </c>
      <c r="K11" s="40"/>
      <c r="L11" s="41">
        <v>0</v>
      </c>
    </row>
    <row r="12" spans="1:12">
      <c r="A12" s="42" t="s">
        <v>101</v>
      </c>
      <c r="B12" s="43"/>
      <c r="C12" s="44"/>
      <c r="D12" s="44"/>
      <c r="E12" s="44"/>
      <c r="F12" s="44"/>
      <c r="G12" s="44"/>
      <c r="H12" s="44"/>
      <c r="I12" s="44"/>
      <c r="J12" s="44"/>
      <c r="K12" s="44"/>
      <c r="L12" s="45"/>
    </row>
    <row r="13" spans="1:12">
      <c r="A13" s="46" t="s">
        <v>102</v>
      </c>
      <c r="B13" s="47"/>
      <c r="C13" s="48"/>
      <c r="D13" s="48"/>
      <c r="E13" s="48"/>
      <c r="F13" s="48"/>
      <c r="G13" s="48"/>
      <c r="H13" s="48"/>
      <c r="I13" s="48"/>
      <c r="J13" s="48"/>
      <c r="K13" s="48"/>
      <c r="L13" s="49"/>
    </row>
    <row r="14" spans="1:12">
      <c r="A14" s="50" t="str">
        <f>([1]输入表格!B30)</f>
        <v>N/M</v>
      </c>
      <c r="B14" s="51"/>
      <c r="C14" s="51"/>
      <c r="D14" s="51"/>
      <c r="E14" s="51"/>
      <c r="F14" s="51"/>
      <c r="G14" s="51"/>
      <c r="H14" s="51"/>
      <c r="I14" s="51"/>
      <c r="J14" s="51"/>
      <c r="K14" s="51"/>
      <c r="L14" s="52"/>
    </row>
    <row r="15" spans="1:12">
      <c r="A15" s="53" t="s">
        <v>103</v>
      </c>
      <c r="B15" s="54"/>
      <c r="C15" s="54"/>
      <c r="D15" s="54"/>
      <c r="E15" s="54"/>
      <c r="F15" s="54"/>
      <c r="G15" s="54"/>
      <c r="H15" s="54"/>
      <c r="I15" s="54"/>
      <c r="J15" s="54"/>
      <c r="K15" s="54"/>
      <c r="L15" s="55"/>
    </row>
    <row r="16" spans="1:12">
      <c r="A16" s="50"/>
      <c r="B16" s="51"/>
      <c r="C16" s="51"/>
      <c r="D16" s="51"/>
      <c r="E16" s="51"/>
      <c r="F16" s="51"/>
      <c r="G16" s="51"/>
      <c r="H16" s="51"/>
      <c r="I16" s="51"/>
      <c r="J16" s="51"/>
      <c r="K16" s="51"/>
      <c r="L16" s="52"/>
    </row>
    <row r="17" spans="1:12">
      <c r="A17" s="56" t="s">
        <v>104</v>
      </c>
      <c r="B17" s="56"/>
      <c r="C17" s="56"/>
      <c r="D17" s="56"/>
      <c r="E17" s="56"/>
      <c r="F17" s="56"/>
      <c r="G17" s="56"/>
      <c r="H17" s="56"/>
      <c r="I17" s="56"/>
      <c r="J17" s="56"/>
      <c r="K17" s="56"/>
      <c r="L17" s="56"/>
    </row>
    <row r="18" s="3" customFormat="1" spans="1:12">
      <c r="A18" s="57">
        <v>1</v>
      </c>
      <c r="B18" s="57"/>
      <c r="C18" s="57"/>
      <c r="D18" s="57"/>
      <c r="E18" s="57"/>
      <c r="F18" s="58"/>
      <c r="G18" s="59"/>
      <c r="H18" s="57"/>
      <c r="I18" s="57"/>
      <c r="J18" s="57"/>
      <c r="K18" s="57"/>
      <c r="L18" s="57"/>
    </row>
    <row r="19" s="3" customFormat="1" spans="1:12">
      <c r="A19" s="57">
        <v>2</v>
      </c>
      <c r="B19" s="57"/>
      <c r="C19" s="57"/>
      <c r="D19" s="57"/>
      <c r="E19" s="57"/>
      <c r="F19" s="58"/>
      <c r="G19" s="59"/>
      <c r="H19" s="57"/>
      <c r="I19" s="57"/>
      <c r="J19" s="57"/>
      <c r="K19" s="57"/>
      <c r="L19" s="57"/>
    </row>
    <row r="20" s="3" customFormat="1" spans="1:12">
      <c r="A20" s="57">
        <v>3</v>
      </c>
      <c r="B20" s="57"/>
      <c r="D20" s="57"/>
      <c r="E20" s="57"/>
      <c r="F20" s="58"/>
      <c r="G20" s="60"/>
      <c r="H20" s="57"/>
      <c r="I20" s="57"/>
      <c r="J20" s="57"/>
      <c r="K20" s="57"/>
      <c r="L20" s="57"/>
    </row>
    <row r="21" s="3" customFormat="1" spans="1:12">
      <c r="A21" s="57">
        <v>4</v>
      </c>
      <c r="B21" s="57"/>
      <c r="C21" s="57"/>
      <c r="D21" s="57"/>
      <c r="E21" s="57"/>
      <c r="F21" s="58"/>
      <c r="G21" s="60"/>
      <c r="H21" s="57"/>
      <c r="I21" s="57"/>
      <c r="J21" s="57"/>
      <c r="K21" s="57"/>
      <c r="L21" s="57"/>
    </row>
    <row r="22" s="3" customFormat="1" spans="1:12">
      <c r="A22" s="57">
        <v>5</v>
      </c>
      <c r="B22" s="57"/>
      <c r="C22" s="57"/>
      <c r="D22" s="57"/>
      <c r="E22" s="57"/>
      <c r="F22" s="58"/>
      <c r="G22" s="60"/>
      <c r="H22" s="57"/>
      <c r="I22" s="57"/>
      <c r="J22" s="57"/>
      <c r="K22" s="57"/>
      <c r="L22" s="57"/>
    </row>
    <row r="23" s="3" customFormat="1" spans="1:12">
      <c r="A23" s="61">
        <v>6</v>
      </c>
      <c r="B23" s="57"/>
      <c r="C23" s="61"/>
      <c r="D23" s="61"/>
      <c r="E23" s="61"/>
      <c r="F23" s="62"/>
      <c r="G23" s="63"/>
      <c r="H23" s="61"/>
      <c r="I23" s="61"/>
      <c r="J23" s="61"/>
      <c r="K23" s="61"/>
      <c r="L23" s="61"/>
    </row>
    <row r="24" s="3" customFormat="1" spans="1:12">
      <c r="A24" s="64"/>
      <c r="B24" s="65" t="s">
        <v>105</v>
      </c>
      <c r="C24" s="66"/>
      <c r="D24" s="66"/>
      <c r="E24" s="67"/>
      <c r="F24" s="67"/>
      <c r="G24" s="68"/>
      <c r="H24" s="67"/>
      <c r="I24" s="69"/>
      <c r="J24" s="69"/>
      <c r="K24" s="69"/>
      <c r="L24" s="70"/>
    </row>
    <row r="25" s="3" customFormat="1" spans="1:12">
      <c r="A25" s="71"/>
      <c r="B25" s="65"/>
      <c r="C25" s="66"/>
      <c r="D25" s="66"/>
      <c r="E25" s="67"/>
      <c r="F25" s="67"/>
      <c r="G25" s="72"/>
      <c r="H25" s="73"/>
      <c r="I25" s="73"/>
      <c r="J25" s="73"/>
      <c r="K25" s="74"/>
      <c r="L25" s="75"/>
    </row>
    <row r="26" s="3" customFormat="1" spans="1:12">
      <c r="A26" s="71"/>
      <c r="B26" s="76"/>
      <c r="C26" s="74"/>
      <c r="D26" s="74"/>
      <c r="E26" s="73"/>
      <c r="F26" s="73"/>
      <c r="G26" s="72"/>
      <c r="H26" s="73"/>
      <c r="I26" s="73"/>
      <c r="J26" s="73"/>
      <c r="K26" s="74"/>
      <c r="L26" s="75"/>
    </row>
    <row r="27" s="3" customFormat="1" spans="1:12">
      <c r="A27" s="71"/>
      <c r="B27" s="76"/>
      <c r="C27" s="74"/>
      <c r="D27" s="74"/>
      <c r="E27" s="73"/>
      <c r="F27" s="73"/>
      <c r="G27" s="72"/>
      <c r="H27" s="73"/>
      <c r="I27" s="73"/>
      <c r="J27" s="73"/>
      <c r="K27" s="74"/>
      <c r="L27" s="75"/>
    </row>
    <row r="28" s="3" customFormat="1" spans="1:12">
      <c r="A28" s="71"/>
      <c r="B28" s="76"/>
      <c r="C28" s="74"/>
      <c r="D28" s="74"/>
      <c r="E28" s="73"/>
      <c r="F28" s="73"/>
      <c r="G28" s="72"/>
      <c r="H28" s="73"/>
      <c r="I28" s="73"/>
      <c r="J28" s="73"/>
      <c r="K28" s="74"/>
      <c r="L28" s="75"/>
    </row>
    <row r="29" s="3" customFormat="1" spans="1:12">
      <c r="A29" s="77"/>
      <c r="B29" s="78"/>
      <c r="C29" s="79"/>
      <c r="D29" s="79"/>
      <c r="E29" s="80"/>
      <c r="F29" s="80"/>
      <c r="G29" s="81"/>
      <c r="H29" s="80"/>
      <c r="I29" s="80"/>
      <c r="J29" s="80"/>
      <c r="K29" s="79"/>
      <c r="L29" s="82"/>
    </row>
    <row r="30" spans="1:12">
      <c r="A30" s="83"/>
      <c r="B30" s="84"/>
      <c r="C30" s="79"/>
      <c r="D30" s="80"/>
      <c r="E30" s="80"/>
      <c r="F30" s="85" t="s">
        <v>106</v>
      </c>
      <c r="G30" s="86">
        <f>SUM(G18:G23)</f>
        <v>0</v>
      </c>
      <c r="H30" s="87"/>
      <c r="I30" s="87"/>
      <c r="J30" s="84"/>
      <c r="K30" s="84"/>
      <c r="L30" s="88"/>
    </row>
    <row r="31" spans="1:12">
      <c r="A31" s="89" t="s">
        <v>107</v>
      </c>
      <c r="B31" s="90"/>
      <c r="C31" s="90"/>
      <c r="D31" s="90"/>
      <c r="E31" s="90"/>
      <c r="F31" s="90"/>
      <c r="G31" s="90"/>
      <c r="H31" s="90"/>
      <c r="I31" s="91"/>
      <c r="J31" s="92" t="s">
        <v>108</v>
      </c>
      <c r="K31" s="93"/>
      <c r="L31" s="94"/>
    </row>
    <row r="32" spans="1:12">
      <c r="A32" s="95"/>
      <c r="B32" s="96"/>
      <c r="C32" s="96"/>
      <c r="D32" s="96"/>
      <c r="E32" s="96"/>
      <c r="F32" s="96"/>
      <c r="G32" s="96"/>
      <c r="H32" s="96"/>
      <c r="I32" s="97"/>
      <c r="J32" s="98"/>
      <c r="K32" s="99"/>
      <c r="L32" s="100"/>
    </row>
  </sheetData>
  <mergeCells count="41">
    <mergeCell ref="A1:L1"/>
    <mergeCell ref="A3:B3"/>
    <mergeCell ref="C3:D3"/>
    <mergeCell ref="E3:F3"/>
    <mergeCell ref="J3:L3"/>
    <mergeCell ref="A4:B4"/>
    <mergeCell ref="C4:D4"/>
    <mergeCell ref="E4:F4"/>
    <mergeCell ref="G4:I4"/>
    <mergeCell ref="J4:L4"/>
    <mergeCell ref="A5:B5"/>
    <mergeCell ref="C5:D5"/>
    <mergeCell ref="E5:F5"/>
    <mergeCell ref="G5:L5"/>
    <mergeCell ref="A6:B6"/>
    <mergeCell ref="C6:D6"/>
    <mergeCell ref="E6:F6"/>
    <mergeCell ref="G6:L6"/>
    <mergeCell ref="A7:B7"/>
    <mergeCell ref="C7:D7"/>
    <mergeCell ref="E7:F7"/>
    <mergeCell ref="G7:L7"/>
    <mergeCell ref="A8:B8"/>
    <mergeCell ref="C8:D8"/>
    <mergeCell ref="E8:F8"/>
    <mergeCell ref="G8:L8"/>
    <mergeCell ref="H9:I9"/>
    <mergeCell ref="K9:L9"/>
    <mergeCell ref="G10:I10"/>
    <mergeCell ref="J10:K10"/>
    <mergeCell ref="G11:I11"/>
    <mergeCell ref="J11:K11"/>
    <mergeCell ref="A12:B12"/>
    <mergeCell ref="C12:L12"/>
    <mergeCell ref="A13:B13"/>
    <mergeCell ref="A14:L14"/>
    <mergeCell ref="A15:L15"/>
    <mergeCell ref="A16:L16"/>
    <mergeCell ref="A17:L17"/>
    <mergeCell ref="A31:I32"/>
    <mergeCell ref="J31:L3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Invoice</vt:lpstr>
      <vt:lpstr>Packing list</vt:lpstr>
      <vt:lpstr>Contract</vt:lpstr>
      <vt:lpstr>报关单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Shui</dc:creator>
  <cp:lastModifiedBy>Lovely</cp:lastModifiedBy>
  <dcterms:created xsi:type="dcterms:W3CDTF">2015-06-05T18:19:00Z</dcterms:created>
  <dcterms:modified xsi:type="dcterms:W3CDTF">2026-06-05T08:47:46Z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577246C7F2254E5994CFC9760842C1E6_12</vt:lpwstr>
  </property>
  <property fmtid="{D5CDD505-2E9C-101B-9397-08002B2CF9AE}" pid="3" name="KSOProductBuildVer">
    <vt:lpwstr>2052-12.1.0.26375</vt:lpwstr>
  </property>
  <property fmtid="{D5CDD505-2E9C-101B-9397-08002B2CF9AE}" pid="4" name="CalculationRule">
    <vt:i4>0</vt:i4>
  </property>
</Properties>
</file>