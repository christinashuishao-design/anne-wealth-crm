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activeTab="1"/>
  </bookViews>
  <sheets>
    <sheet name="Invoice" sheetId="1" r:id="rId1"/>
    <sheet name="Packing list" sheetId="2" r:id="rId2"/>
    <sheet name="Contract" sheetId="4" state="hidden" r:id="rId3"/>
  </sheets>
  <definedNames>
    <definedName name="_xlnm.Print_Area" localSheetId="1">'Packing list'!$A$1:$N$19</definedName>
    <definedName name="_xlnm.Print_Area" localSheetId="0">Invoice!$A$1:$H$16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<sst xmlns="http://schemas.openxmlformats.org/spreadsheetml/2006/main" count="70" uniqueCount="63">
  <si>
    <t>GUANGZHOU AC SKINCARE PACKAGING CO.,LTD</t>
  </si>
  <si>
    <t>Room 1002, Shuixi Fuye 1st Street, Huangpu District, Guangzhou, CN
Phone: +8618688407515 Emai.l: ANNE@SKINCAREPKG.COM</t>
  </si>
  <si>
    <t>INVOICE</t>
  </si>
  <si>
    <t>TO:</t>
  </si>
  <si>
    <t>IZIL COSMETICS INDUSTRIES, LLC
PLOT NO:214050145,UNIT NO:2
BUILDING #21405,SALIHIA 214
RAS AL KHAIMAH.
UAE.
SHARLET ROBERT CASTELINO
SHARLET.CASTELINO@IZILBEAUTY.COM
+971555014285</t>
  </si>
  <si>
    <t>Invoice No:PI-AC26012301-1
Payment Terms: T/T Before Shipment,30DAY(S);
Country of origin - China
DATE: 2026/5/19</t>
  </si>
  <si>
    <r>
      <rPr>
        <b/>
        <sz val="10"/>
        <color rgb="FF000000"/>
        <rFont val="Microsoft YaHei UI"/>
        <charset val="134"/>
      </rPr>
      <t xml:space="preserve">唛号与号码
</t>
    </r>
    <r>
      <rPr>
        <b/>
        <sz val="10"/>
        <rFont val="Arial"/>
        <charset val="134"/>
      </rPr>
      <t xml:space="preserve">Marks &amp; No. </t>
    </r>
  </si>
  <si>
    <r>
      <rPr>
        <b/>
        <sz val="10"/>
        <color rgb="FF000000"/>
        <rFont val="宋体"/>
        <charset val="134"/>
      </rPr>
      <t>品名</t>
    </r>
    <r>
      <rPr>
        <b/>
        <sz val="10"/>
        <rFont val="Arial"/>
        <charset val="134"/>
      </rPr>
      <t xml:space="preserve">
Product</t>
    </r>
  </si>
  <si>
    <r>
      <rPr>
        <b/>
        <sz val="10"/>
        <color rgb="FF000000"/>
        <rFont val="宋体"/>
        <charset val="134"/>
      </rPr>
      <t xml:space="preserve">数量
</t>
    </r>
    <r>
      <rPr>
        <b/>
        <sz val="10"/>
        <rFont val="Arial"/>
        <charset val="134"/>
      </rPr>
      <t>Quantities</t>
    </r>
  </si>
  <si>
    <r>
      <rPr>
        <b/>
        <sz val="10"/>
        <color rgb="FF000000"/>
        <rFont val="宋体"/>
        <charset val="134"/>
      </rPr>
      <t xml:space="preserve">箱数
</t>
    </r>
    <r>
      <rPr>
        <b/>
        <sz val="10"/>
        <rFont val="Arial"/>
        <charset val="134"/>
      </rPr>
      <t>Cartons</t>
    </r>
  </si>
  <si>
    <r>
      <rPr>
        <b/>
        <sz val="10"/>
        <color rgb="FF000000"/>
        <rFont val="宋体"/>
        <charset val="134"/>
      </rPr>
      <t>单价</t>
    </r>
    <r>
      <rPr>
        <b/>
        <sz val="10"/>
        <rFont val="Arial"/>
        <charset val="134"/>
      </rPr>
      <t xml:space="preserve">
Unit Price
EXW Factory</t>
    </r>
  </si>
  <si>
    <r>
      <rPr>
        <b/>
        <sz val="10"/>
        <color rgb="FF000000"/>
        <rFont val="宋体"/>
        <charset val="134"/>
      </rPr>
      <t>总值</t>
    </r>
    <r>
      <rPr>
        <b/>
        <sz val="10"/>
        <rFont val="Arial"/>
        <charset val="134"/>
      </rPr>
      <t xml:space="preserve">
Amount</t>
    </r>
    <r>
      <rPr>
        <b/>
        <sz val="10"/>
        <rFont val="Arial"/>
        <charset val="134"/>
      </rPr>
      <t xml:space="preserve">
EXW Factory</t>
    </r>
  </si>
  <si>
    <t>AC26012301</t>
  </si>
  <si>
    <t>plastic bottle
HS code: 3923300000</t>
  </si>
  <si>
    <t>Cosmetic tube
HS CODE
3923900000</t>
  </si>
  <si>
    <t>TOTAL</t>
  </si>
  <si>
    <t xml:space="preserve">FREE OF CHARGE QUANTITY </t>
  </si>
  <si>
    <t>SUBTOTAL AMOUNT</t>
  </si>
  <si>
    <r>
      <rPr>
        <b/>
        <sz val="16"/>
        <color rgb="FF000000"/>
        <rFont val="Arial"/>
        <charset val="134"/>
      </rPr>
      <t>GUANGZHOU AC SKINCARE PACKAGING CO.,LTD</t>
    </r>
    <r>
      <rPr>
        <b/>
        <sz val="10"/>
        <color rgb="FF000000"/>
        <rFont val="Arial"/>
        <charset val="134"/>
      </rPr>
      <t xml:space="preserve">
</t>
    </r>
    <r>
      <rPr>
        <sz val="10"/>
        <color rgb="FF000000"/>
        <rFont val="Arial"/>
        <charset val="134"/>
      </rPr>
      <t>Room 1002, Shuixi Fuye 1st Street, Huangpu District, Guangzhou, CN
Phone: +8618688407515 Emai.l: ANNE@SKINCAREPKG.COM</t>
    </r>
  </si>
  <si>
    <t>PACKING LIST</t>
  </si>
  <si>
    <t>Invoice No:PI-AC26012301-1
Country of origin - China
DATE: 2026/5/19</t>
  </si>
  <si>
    <t/>
  </si>
  <si>
    <t>CARTON</t>
  </si>
  <si>
    <t>NO</t>
  </si>
  <si>
    <r>
      <rPr>
        <b/>
        <sz val="10"/>
        <color theme="1"/>
        <rFont val="Arial"/>
        <charset val="134"/>
      </rPr>
      <t xml:space="preserve">PRODUCTION NAME
</t>
    </r>
    <r>
      <rPr>
        <b/>
        <sz val="10"/>
        <color theme="1"/>
        <rFont val="宋体"/>
        <charset val="134"/>
      </rPr>
      <t>产品名</t>
    </r>
  </si>
  <si>
    <r>
      <rPr>
        <b/>
        <sz val="10"/>
        <color theme="1"/>
        <rFont val="Arial"/>
        <charset val="134"/>
      </rPr>
      <t xml:space="preserve">QTY
</t>
    </r>
    <r>
      <rPr>
        <b/>
        <sz val="10"/>
        <color theme="1"/>
        <rFont val="宋体"/>
        <charset val="134"/>
      </rPr>
      <t>订单数量</t>
    </r>
  </si>
  <si>
    <r>
      <rPr>
        <b/>
        <sz val="10"/>
        <color theme="1"/>
        <rFont val="Arial"/>
        <charset val="134"/>
      </rPr>
      <t xml:space="preserve">QTY/CTN
</t>
    </r>
    <r>
      <rPr>
        <b/>
        <sz val="10"/>
        <color theme="1"/>
        <rFont val="宋体"/>
        <charset val="134"/>
      </rPr>
      <t>个</t>
    </r>
    <r>
      <rPr>
        <b/>
        <sz val="10"/>
        <color theme="1"/>
        <rFont val="Arial"/>
        <charset val="134"/>
      </rPr>
      <t>/</t>
    </r>
    <r>
      <rPr>
        <b/>
        <sz val="10"/>
        <color theme="1"/>
        <rFont val="宋体"/>
        <charset val="134"/>
      </rPr>
      <t>箱</t>
    </r>
  </si>
  <si>
    <r>
      <rPr>
        <b/>
        <sz val="10"/>
        <color theme="1"/>
        <rFont val="Arial"/>
        <charset val="134"/>
      </rPr>
      <t xml:space="preserve">CARTON. SIZE CM
</t>
    </r>
    <r>
      <rPr>
        <b/>
        <sz val="10"/>
        <color theme="1"/>
        <rFont val="宋体"/>
        <charset val="134"/>
      </rPr>
      <t>纸箱尺寸</t>
    </r>
  </si>
  <si>
    <r>
      <rPr>
        <b/>
        <sz val="10"/>
        <color theme="1"/>
        <rFont val="Arial"/>
        <charset val="134"/>
      </rPr>
      <t xml:space="preserve">CBM
</t>
    </r>
    <r>
      <rPr>
        <b/>
        <sz val="10"/>
        <color theme="1"/>
        <rFont val="宋体"/>
        <charset val="134"/>
      </rPr>
      <t>体积</t>
    </r>
  </si>
  <si>
    <r>
      <rPr>
        <b/>
        <sz val="10"/>
        <color theme="1"/>
        <rFont val="Arial"/>
        <charset val="134"/>
      </rPr>
      <t xml:space="preserve">N.W.
</t>
    </r>
    <r>
      <rPr>
        <b/>
        <sz val="10"/>
        <color theme="1"/>
        <rFont val="宋体"/>
        <charset val="134"/>
      </rPr>
      <t>净重</t>
    </r>
  </si>
  <si>
    <r>
      <rPr>
        <b/>
        <sz val="10"/>
        <color theme="1"/>
        <rFont val="Arial"/>
        <charset val="134"/>
      </rPr>
      <t xml:space="preserve">G.W
</t>
    </r>
    <r>
      <rPr>
        <b/>
        <sz val="10"/>
        <color theme="1"/>
        <rFont val="宋体"/>
        <charset val="134"/>
      </rPr>
      <t>毛重</t>
    </r>
  </si>
  <si>
    <r>
      <rPr>
        <b/>
        <sz val="10"/>
        <color theme="1"/>
        <rFont val="Arial"/>
        <charset val="134"/>
      </rPr>
      <t xml:space="preserve">CARTON
</t>
    </r>
    <r>
      <rPr>
        <b/>
        <sz val="10"/>
        <color theme="1"/>
        <rFont val="宋体"/>
        <charset val="134"/>
      </rPr>
      <t>总箱数</t>
    </r>
  </si>
  <si>
    <r>
      <rPr>
        <b/>
        <sz val="10"/>
        <color theme="1"/>
        <rFont val="Arial"/>
        <charset val="134"/>
      </rPr>
      <t xml:space="preserve"> N.W.
</t>
    </r>
    <r>
      <rPr>
        <b/>
        <sz val="10"/>
        <color theme="1"/>
        <rFont val="宋体"/>
        <charset val="134"/>
      </rPr>
      <t>总净重</t>
    </r>
  </si>
  <si>
    <r>
      <rPr>
        <b/>
        <sz val="10"/>
        <color theme="1"/>
        <rFont val="Arial"/>
        <charset val="134"/>
      </rPr>
      <t xml:space="preserve">G.W.
</t>
    </r>
    <r>
      <rPr>
        <b/>
        <sz val="10"/>
        <color theme="1"/>
        <rFont val="宋体"/>
        <charset val="134"/>
      </rPr>
      <t>总毛重</t>
    </r>
  </si>
  <si>
    <r>
      <rPr>
        <b/>
        <sz val="10"/>
        <color theme="1"/>
        <rFont val="Arial"/>
        <charset val="134"/>
      </rPr>
      <t xml:space="preserve">CBM
</t>
    </r>
    <r>
      <rPr>
        <b/>
        <sz val="10"/>
        <color theme="1"/>
        <rFont val="宋体"/>
        <charset val="134"/>
      </rPr>
      <t>总体积</t>
    </r>
  </si>
  <si>
    <r>
      <rPr>
        <b/>
        <sz val="18"/>
        <rFont val="Arial"/>
        <charset val="134"/>
      </rPr>
      <t xml:space="preserve">GUANGZHOU AC SKINCARE PACKAGING CO.,LTD
</t>
    </r>
    <r>
      <rPr>
        <sz val="10"/>
        <rFont val="Arial"/>
        <charset val="134"/>
      </rPr>
      <t>RM 216, No. 10 Longdong Street, Tianhe District, Guangzhou, CN
Phone: +8618688407515 Emai.l: ANNE@SKINCAREPKG.COM</t>
    </r>
  </si>
  <si>
    <r>
      <rPr>
        <b/>
        <sz val="18"/>
        <rFont val="宋体"/>
        <charset val="134"/>
      </rPr>
      <t>售</t>
    </r>
    <r>
      <rPr>
        <b/>
        <sz val="18"/>
        <rFont val="Arial"/>
        <charset val="134"/>
      </rPr>
      <t xml:space="preserve"> </t>
    </r>
    <r>
      <rPr>
        <b/>
        <sz val="18"/>
        <rFont val="宋体"/>
        <charset val="134"/>
      </rPr>
      <t>货</t>
    </r>
    <r>
      <rPr>
        <b/>
        <sz val="18"/>
        <rFont val="Arial"/>
        <charset val="134"/>
      </rPr>
      <t xml:space="preserve"> </t>
    </r>
    <r>
      <rPr>
        <b/>
        <sz val="18"/>
        <rFont val="宋体"/>
        <charset val="134"/>
      </rPr>
      <t>合</t>
    </r>
    <r>
      <rPr>
        <b/>
        <sz val="18"/>
        <rFont val="Arial"/>
        <charset val="134"/>
      </rPr>
      <t xml:space="preserve"> </t>
    </r>
    <r>
      <rPr>
        <b/>
        <sz val="18"/>
        <rFont val="宋体"/>
        <charset val="134"/>
      </rPr>
      <t>同</t>
    </r>
  </si>
  <si>
    <t xml:space="preserve">SALES CONTRACT </t>
  </si>
  <si>
    <r>
      <rPr>
        <sz val="10"/>
        <color theme="1"/>
        <rFont val="等线"/>
        <charset val="134"/>
      </rPr>
      <t>下列签字双方同意按以下条款达成交易：</t>
    </r>
  </si>
  <si>
    <r>
      <rPr>
        <sz val="10"/>
        <color theme="1"/>
        <rFont val="Arial"/>
        <charset val="134"/>
      </rPr>
      <t>PI NO</t>
    </r>
    <r>
      <rPr>
        <sz val="10"/>
        <color theme="1"/>
        <rFont val="等线"/>
        <charset val="134"/>
      </rPr>
      <t>：</t>
    </r>
  </si>
  <si>
    <t xml:space="preserve">The undersigned Sellers and Buyers have agreed to close the following transactions </t>
  </si>
  <si>
    <r>
      <rPr>
        <sz val="10"/>
        <rFont val="Arial"/>
        <charset val="134"/>
      </rPr>
      <t>DATE</t>
    </r>
    <r>
      <rPr>
        <sz val="10"/>
        <rFont val="宋体"/>
        <charset val="134"/>
      </rPr>
      <t>：</t>
    </r>
  </si>
  <si>
    <t>according to the terms andconditions stipulated below :</t>
  </si>
  <si>
    <r>
      <rPr>
        <sz val="10"/>
        <rFont val="宋体"/>
        <charset val="134"/>
      </rPr>
      <t>品名及规格</t>
    </r>
    <r>
      <rPr>
        <sz val="10"/>
        <rFont val="Arial"/>
        <charset val="134"/>
      </rPr>
      <t xml:space="preserve">                                                   COMMODITY AND SPECIFICATION</t>
    </r>
  </si>
  <si>
    <r>
      <rPr>
        <sz val="10"/>
        <rFont val="宋体"/>
        <charset val="134"/>
      </rPr>
      <t>数量</t>
    </r>
    <r>
      <rPr>
        <sz val="10"/>
        <rFont val="Arial"/>
        <charset val="134"/>
      </rPr>
      <t xml:space="preserve">                      QUANTITY</t>
    </r>
  </si>
  <si>
    <r>
      <rPr>
        <sz val="10"/>
        <rFont val="宋体"/>
        <charset val="134"/>
      </rPr>
      <t>单位</t>
    </r>
    <r>
      <rPr>
        <sz val="10"/>
        <rFont val="Arial"/>
        <charset val="134"/>
      </rPr>
      <t xml:space="preserve">                   DUAL</t>
    </r>
  </si>
  <si>
    <r>
      <rPr>
        <sz val="10"/>
        <rFont val="宋体"/>
        <charset val="134"/>
      </rPr>
      <t>单价</t>
    </r>
    <r>
      <rPr>
        <sz val="10"/>
        <rFont val="Arial"/>
        <charset val="134"/>
      </rPr>
      <t xml:space="preserve">                                 UNIT PRICE</t>
    </r>
  </si>
  <si>
    <r>
      <rPr>
        <sz val="10"/>
        <rFont val="宋体"/>
        <charset val="134"/>
      </rPr>
      <t>金额</t>
    </r>
    <r>
      <rPr>
        <sz val="10"/>
        <rFont val="Arial"/>
        <charset val="134"/>
      </rPr>
      <t xml:space="preserve">                                             AMOUNT</t>
    </r>
  </si>
  <si>
    <r>
      <rPr>
        <sz val="10"/>
        <rFont val="Arial"/>
        <charset val="134"/>
      </rPr>
      <t>(5)</t>
    </r>
    <r>
      <rPr>
        <sz val="10"/>
        <rFont val="宋体"/>
        <charset val="134"/>
      </rPr>
      <t>装运期限</t>
    </r>
    <r>
      <rPr>
        <sz val="10"/>
        <rFont val="Arial"/>
        <charset val="134"/>
      </rPr>
      <t>:</t>
    </r>
  </si>
  <si>
    <r>
      <rPr>
        <sz val="10"/>
        <rFont val="Arial"/>
        <charset val="134"/>
      </rPr>
      <t>(6)</t>
    </r>
    <r>
      <rPr>
        <sz val="10"/>
        <rFont val="宋体"/>
        <charset val="134"/>
      </rPr>
      <t>装运数量允许有</t>
    </r>
    <r>
      <rPr>
        <sz val="10"/>
        <rFont val="Arial"/>
        <charset val="134"/>
      </rPr>
      <t xml:space="preserve">      %</t>
    </r>
    <r>
      <rPr>
        <sz val="10"/>
        <rFont val="宋体"/>
        <charset val="134"/>
      </rPr>
      <t>在增减</t>
    </r>
  </si>
  <si>
    <t>Shipment:</t>
  </si>
  <si>
    <t>Shipment quantity        % more or less allowed</t>
  </si>
  <si>
    <r>
      <rPr>
        <sz val="10"/>
        <rFont val="Arial"/>
        <charset val="134"/>
      </rPr>
      <t>(7)</t>
    </r>
    <r>
      <rPr>
        <sz val="10"/>
        <rFont val="宋体"/>
        <charset val="134"/>
      </rPr>
      <t>装运口岸</t>
    </r>
    <r>
      <rPr>
        <sz val="10"/>
        <rFont val="Arial"/>
        <charset val="134"/>
      </rPr>
      <t>:</t>
    </r>
  </si>
  <si>
    <r>
      <rPr>
        <sz val="10"/>
        <rFont val="Arial"/>
        <charset val="134"/>
      </rPr>
      <t>(8)</t>
    </r>
    <r>
      <rPr>
        <sz val="10"/>
        <rFont val="宋体"/>
        <charset val="134"/>
      </rPr>
      <t>目的港</t>
    </r>
    <r>
      <rPr>
        <sz val="10"/>
        <rFont val="Arial"/>
        <charset val="134"/>
      </rPr>
      <t xml:space="preserve">: </t>
    </r>
  </si>
  <si>
    <t>Port of loading:</t>
  </si>
  <si>
    <r>
      <rPr>
        <sz val="10"/>
        <rFont val="Arial"/>
        <charset val="134"/>
      </rPr>
      <t>Port of Destination</t>
    </r>
    <r>
      <rPr>
        <sz val="10"/>
        <rFont val="宋体"/>
        <charset val="134"/>
      </rPr>
      <t>：</t>
    </r>
  </si>
  <si>
    <r>
      <rPr>
        <sz val="10"/>
        <rFont val="Arial"/>
        <charset val="134"/>
      </rPr>
      <t>(9)</t>
    </r>
    <r>
      <rPr>
        <sz val="10"/>
        <rFont val="宋体"/>
        <charset val="134"/>
      </rPr>
      <t xml:space="preserve">付款方式 </t>
    </r>
    <r>
      <rPr>
        <sz val="10"/>
        <rFont val="Arial"/>
        <charset val="134"/>
      </rPr>
      <t>PAYMENT</t>
    </r>
    <r>
      <rPr>
        <sz val="10"/>
        <rFont val="Arial"/>
        <charset val="134"/>
      </rPr>
      <t xml:space="preserve">: </t>
    </r>
    <r>
      <rPr>
        <sz val="10"/>
        <rFont val="Microsoft YaHei UI"/>
        <charset val="134"/>
      </rPr>
      <t>在装柜之前开到卖方</t>
    </r>
    <r>
      <rPr>
        <sz val="10"/>
        <rFont val="Arial"/>
        <charset val="134"/>
      </rPr>
      <t>100%</t>
    </r>
    <r>
      <rPr>
        <sz val="10"/>
        <rFont val="Microsoft YaHei UI"/>
        <charset val="134"/>
      </rPr>
      <t>保兑的、不可撤销的、即期付款信用证，须注明装运日期后, 十五天内在中国议付有效，允许转船及分批装运，并注明有关合同号码，议付金额允许有5%的增减。幅度以实际装运数量为准。</t>
    </r>
    <r>
      <rPr>
        <sz val="10"/>
        <rFont val="Arial"/>
        <charset val="134"/>
      </rPr>
      <t xml:space="preserve">
</t>
    </r>
    <r>
      <rPr>
        <sz val="10"/>
        <rFont val="Microsoft YaHei UI"/>
        <charset val="134"/>
      </rPr>
      <t>By 100% confirmed. Irrevocable  L/C  to  be opened to be seller before</t>
    </r>
    <r>
      <rPr>
        <u/>
        <sz val="10"/>
        <rFont val="Microsoft YaHei UI"/>
        <charset val="134"/>
      </rPr>
      <t xml:space="preserve">         </t>
    </r>
    <r>
      <rPr>
        <sz val="10"/>
        <rFont val="Microsoft YaHei UI"/>
        <charset val="134"/>
      </rPr>
      <t xml:space="preserve">and to be </t>
    </r>
    <r>
      <rPr>
        <sz val="10"/>
        <rFont val="Arial"/>
        <charset val="134"/>
      </rPr>
      <t xml:space="preserve">available by sight draft,to remain valid for negotiation in China untill the 15th days after the Date of Shipment,allowing transhipmentand  partial  shipmetns, mentioning the relative contract number and the negotiated amount </t>
    </r>
    <r>
      <rPr>
        <u/>
        <sz val="10"/>
        <rFont val="Arial"/>
        <charset val="134"/>
      </rPr>
      <t xml:space="preserve">             </t>
    </r>
    <r>
      <rPr>
        <sz val="10"/>
        <rFont val="Arial"/>
        <charset val="134"/>
      </rPr>
      <t xml:space="preserve"> %more or less allowable with subject to the actual shipped quanlity.</t>
    </r>
  </si>
  <si>
    <r>
      <rPr>
        <sz val="10"/>
        <rFont val="Arial"/>
        <charset val="134"/>
      </rPr>
      <t>(10)</t>
    </r>
    <r>
      <rPr>
        <sz val="10"/>
        <rFont val="微软雅黑"/>
        <charset val="134"/>
      </rPr>
      <t>保</t>
    </r>
    <r>
      <rPr>
        <sz val="10"/>
        <rFont val="Arial"/>
        <charset val="134"/>
      </rPr>
      <t xml:space="preserve">     </t>
    </r>
    <r>
      <rPr>
        <sz val="10"/>
        <rFont val="微软雅黑"/>
        <charset val="134"/>
      </rPr>
      <t>险</t>
    </r>
    <r>
      <rPr>
        <sz val="10"/>
        <rFont val="Arial"/>
        <charset val="134"/>
      </rPr>
      <t xml:space="preserve">:  </t>
    </r>
    <r>
      <rPr>
        <sz val="10"/>
        <rFont val="Microsoft YaHei UI"/>
        <charset val="134"/>
      </rPr>
      <t>投保</t>
    </r>
    <r>
      <rPr>
        <sz val="10"/>
        <rFont val="Arial"/>
        <charset val="134"/>
      </rPr>
      <t xml:space="preserve">                     </t>
    </r>
    <r>
      <rPr>
        <sz val="10"/>
        <rFont val="Microsoft YaHei UI"/>
        <charset val="134"/>
      </rPr>
      <t>由卖方按发票金额</t>
    </r>
    <r>
      <rPr>
        <sz val="10"/>
        <rFont val="Arial"/>
        <charset val="134"/>
      </rPr>
      <t>110%</t>
    </r>
    <r>
      <rPr>
        <sz val="10"/>
        <rFont val="Microsoft YaHei UI"/>
        <charset val="134"/>
      </rPr>
      <t>投保。</t>
    </r>
  </si>
  <si>
    <t>INSURANCE : Covering           Risks for 110%  of invoice  value to be effected by the Seller.</t>
  </si>
  <si>
    <r>
      <rPr>
        <b/>
        <sz val="10"/>
        <rFont val="宋体"/>
        <charset val="134"/>
      </rPr>
      <t>买方签字</t>
    </r>
  </si>
  <si>
    <r>
      <rPr>
        <b/>
        <sz val="10"/>
        <rFont val="Arial"/>
        <charset val="134"/>
      </rPr>
      <t xml:space="preserve">   </t>
    </r>
    <r>
      <rPr>
        <b/>
        <sz val="10"/>
        <rFont val="宋体"/>
        <charset val="134"/>
      </rPr>
      <t>卖方签字</t>
    </r>
  </si>
  <si>
    <t>The Buyer's Signature</t>
  </si>
  <si>
    <t xml:space="preserve">   The Seller's Signature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</si>
</sst>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13">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 numFmtId="177" formatCode="\$#,##0.0;\-\$#,##0.0"/>
    <numFmt numFmtId="178" formatCode="\$#,##0;\-\$#,##0"/>
    <numFmt numFmtId="179" formatCode="&quot;US$&quot;#,##0.000;\-&quot;US$&quot;#,##0.000"/>
    <numFmt numFmtId="180" formatCode="#,##0.0000"/>
    <numFmt numFmtId="181" formatCode="0.00_);[Red]\(0.00\)"/>
    <numFmt numFmtId="182" formatCode="0.00_ "/>
    <numFmt numFmtId="183" formatCode="#,##0.00_ "/>
    <numFmt numFmtId="184" formatCode="\$#,##0.0000;\-\$#,##0.0000"/>
  </numFmts>
  <fonts count="50">
    <font>
      <sz val="11"/>
      <color theme="1"/>
      <name val="等线"/>
      <charset val="134"/>
      <scheme val="minor"/>
    </font>
    <font>
      <sz val="22"/>
      <name val="Arial"/>
      <charset val="134"/>
    </font>
    <font>
      <sz val="10"/>
      <color theme="1"/>
      <name val="Arial"/>
      <charset val="134"/>
    </font>
    <font>
      <sz val="11"/>
      <color theme="1"/>
      <name val="Arial"/>
      <charset val="134"/>
    </font>
    <font>
      <b/>
      <sz val="18"/>
      <name val="Arial"/>
      <charset val="134"/>
    </font>
    <font>
      <b/>
      <sz val="10"/>
      <name val="Arial"/>
      <charset val="134"/>
    </font>
    <font>
      <sz val="10"/>
      <name val="Arial"/>
      <charset val="134"/>
    </font>
    <font>
      <sz val="10"/>
      <color rgb="FF000000"/>
      <name val="Arial"/>
      <charset val="134"/>
    </font>
    <font>
      <sz val="10"/>
      <name val="宋体"/>
      <charset val="134"/>
    </font>
    <font>
      <sz val="9"/>
      <name val="Arial"/>
      <charset val="134"/>
    </font>
    <font>
      <sz val="10"/>
      <color theme="1"/>
      <name val="等线"/>
      <charset val="134"/>
      <scheme val="minor"/>
    </font>
    <font>
      <b/>
      <sz val="16"/>
      <color rgb="FF000000"/>
      <name val="Arial"/>
      <charset val="134"/>
    </font>
    <font>
      <b/>
      <sz val="10"/>
      <color rgb="FF000000"/>
      <name val="Arial"/>
      <charset val="134"/>
    </font>
    <font>
      <b/>
      <u/>
      <sz val="16"/>
      <name val="Arial"/>
      <charset val="134"/>
    </font>
    <font>
      <b/>
      <sz val="10"/>
      <color theme="1"/>
      <name val="Arial"/>
      <charset val="134"/>
    </font>
    <font>
      <sz val="12"/>
      <name val="Arial"/>
      <charset val="134"/>
    </font>
    <font>
      <b/>
      <sz val="16"/>
      <name val="Arial"/>
      <charset val="134"/>
    </font>
    <font>
      <sz val="16"/>
      <name val="Arial"/>
      <charset val="134"/>
    </font>
    <font>
      <b/>
      <sz val="12"/>
      <name val="Arial"/>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Geneva"/>
      <charset val="134"/>
    </font>
    <font>
      <sz val="12"/>
      <name val="宋体"/>
      <charset val="134"/>
    </font>
    <font>
      <b/>
      <sz val="10"/>
      <color rgb="FF000000"/>
      <name val="宋体"/>
      <charset val="134"/>
    </font>
    <font>
      <b/>
      <sz val="10"/>
      <color rgb="FF000000"/>
      <name val="Microsoft YaHei UI"/>
      <charset val="134"/>
    </font>
    <font>
      <b/>
      <sz val="10"/>
      <color theme="1"/>
      <name val="宋体"/>
      <charset val="134"/>
    </font>
    <font>
      <sz val="10"/>
      <color theme="1"/>
      <name val="等线"/>
      <charset val="134"/>
    </font>
    <font>
      <b/>
      <sz val="18"/>
      <name val="宋体"/>
      <charset val="134"/>
    </font>
    <font>
      <b/>
      <sz val="10"/>
      <name val="宋体"/>
      <charset val="134"/>
    </font>
    <font>
      <sz val="10"/>
      <name val="Microsoft YaHei UI"/>
      <charset val="134"/>
    </font>
    <font>
      <u/>
      <sz val="10"/>
      <name val="Microsoft YaHei UI"/>
      <charset val="134"/>
    </font>
    <font>
      <u/>
      <sz val="10"/>
      <name val="Arial"/>
      <charset val="134"/>
    </font>
    <font>
      <sz val="10"/>
      <name val="微软雅黑"/>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3" borderId="11"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2" applyNumberFormat="0" applyFill="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26" fillId="0" borderId="0" applyNumberFormat="0" applyFill="0" applyBorder="0" applyAlignment="0" applyProtection="0">
      <alignment vertical="center"/>
    </xf>
    <xf numFmtId="0" fontId="27" fillId="4" borderId="14" applyNumberFormat="0" applyAlignment="0" applyProtection="0">
      <alignment vertical="center"/>
    </xf>
    <xf numFmtId="0" fontId="28" fillId="5" borderId="15" applyNumberFormat="0" applyAlignment="0" applyProtection="0">
      <alignment vertical="center"/>
    </xf>
    <xf numFmtId="0" fontId="29" fillId="5" borderId="14" applyNumberFormat="0" applyAlignment="0" applyProtection="0">
      <alignment vertical="center"/>
    </xf>
    <xf numFmtId="0" fontId="30" fillId="6" borderId="16" applyNumberFormat="0" applyAlignment="0" applyProtection="0">
      <alignment vertical="center"/>
    </xf>
    <xf numFmtId="0" fontId="31" fillId="0" borderId="17" applyNumberFormat="0" applyFill="0" applyAlignment="0" applyProtection="0">
      <alignment vertical="center"/>
    </xf>
    <xf numFmtId="0" fontId="32" fillId="0" borderId="18" applyNumberFormat="0" applyFill="0" applyAlignment="0" applyProtection="0">
      <alignment vertical="center"/>
    </xf>
    <xf numFmtId="0" fontId="33" fillId="7" borderId="0" applyNumberFormat="0" applyBorder="0" applyAlignment="0" applyProtection="0">
      <alignment vertical="center"/>
    </xf>
    <xf numFmtId="0" fontId="34" fillId="8" borderId="0" applyNumberFormat="0" applyBorder="0" applyAlignment="0" applyProtection="0">
      <alignment vertical="center"/>
    </xf>
    <xf numFmtId="0" fontId="35" fillId="9" borderId="0" applyNumberFormat="0" applyBorder="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6" fillId="13" borderId="0" applyNumberFormat="0" applyBorder="0" applyAlignment="0" applyProtection="0">
      <alignment vertical="center"/>
    </xf>
    <xf numFmtId="0" fontId="36" fillId="14" borderId="0" applyNumberFormat="0" applyBorder="0" applyAlignment="0" applyProtection="0">
      <alignment vertical="center"/>
    </xf>
    <xf numFmtId="0" fontId="37" fillId="15" borderId="0" applyNumberFormat="0" applyBorder="0" applyAlignment="0" applyProtection="0">
      <alignment vertical="center"/>
    </xf>
    <xf numFmtId="0" fontId="37"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6" fillId="33" borderId="0" applyNumberFormat="0" applyBorder="0" applyAlignment="0" applyProtection="0">
      <alignment vertical="center"/>
    </xf>
    <xf numFmtId="0" fontId="38" fillId="0" borderId="0"/>
    <xf numFmtId="0" fontId="39" fillId="0" borderId="0"/>
    <xf numFmtId="0" fontId="39" fillId="0" borderId="0"/>
  </cellStyleXfs>
  <cellXfs count="88">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Protection="1">
      <protection locked="0"/>
    </xf>
    <xf numFmtId="0" fontId="3" fillId="0" borderId="0" xfId="0" applyFont="1" applyAlignment="1" applyProtection="1">
      <alignment horizontal="center"/>
      <protection locked="0"/>
    </xf>
    <xf numFmtId="0" fontId="3" fillId="0" borderId="0" xfId="0" applyFont="1"/>
    <xf numFmtId="0" fontId="3" fillId="0" borderId="0" xfId="0" applyFont="1" applyAlignment="1">
      <alignment vertical="center"/>
    </xf>
    <xf numFmtId="0" fontId="4" fillId="0" borderId="0" xfId="0" applyFont="1" applyAlignment="1" applyProtection="1">
      <alignment horizontal="center" vertical="center" wrapText="1"/>
      <protection locked="0"/>
    </xf>
    <xf numFmtId="0" fontId="4" fillId="0" borderId="0" xfId="0" applyFont="1" applyAlignment="1">
      <alignment horizontal="center" vertical="center"/>
    </xf>
    <xf numFmtId="0" fontId="5" fillId="0" borderId="0" xfId="0" applyFont="1" applyAlignment="1" applyProtection="1">
      <alignment horizontal="left" vertical="center"/>
      <protection locked="0"/>
    </xf>
    <xf numFmtId="0" fontId="5" fillId="0" borderId="0" xfId="0" applyFont="1" applyAlignment="1">
      <alignment horizontal="left" vertical="center"/>
    </xf>
    <xf numFmtId="0" fontId="4" fillId="0" borderId="0" xfId="0" applyFont="1" applyAlignment="1">
      <alignment horizontal="center"/>
    </xf>
    <xf numFmtId="0" fontId="1" fillId="0" borderId="0" xfId="0" applyFont="1"/>
    <xf numFmtId="0" fontId="2" fillId="0" borderId="0" xfId="0" applyFont="1"/>
    <xf numFmtId="0" fontId="2" fillId="0" borderId="0" xfId="0" applyFont="1" applyAlignment="1">
      <alignment horizontal="left"/>
    </xf>
    <xf numFmtId="0" fontId="6" fillId="0" borderId="0" xfId="0" applyFont="1"/>
    <xf numFmtId="14" fontId="2" fillId="0" borderId="0" xfId="0" applyNumberFormat="1" applyFont="1" applyAlignment="1">
      <alignment horizontal="left"/>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0" xfId="0" applyFont="1" applyAlignment="1">
      <alignment vertical="center" wrapText="1"/>
    </xf>
    <xf numFmtId="0" fontId="6" fillId="0" borderId="1" xfId="51" applyFont="1" applyBorder="1" applyAlignment="1" applyProtection="1">
      <alignment horizontal="left" vertical="center"/>
      <protection hidden="1"/>
    </xf>
    <xf numFmtId="0" fontId="6" fillId="0" borderId="1" xfId="51" applyFont="1" applyBorder="1" applyAlignment="1" applyProtection="1">
      <alignment horizontal="center" vertical="center"/>
      <protection hidden="1"/>
    </xf>
    <xf numFmtId="176" fontId="7" fillId="0" borderId="1" xfId="0" applyNumberFormat="1" applyFont="1" applyBorder="1" applyAlignment="1">
      <alignment horizontal="center" vertical="center" wrapText="1"/>
    </xf>
    <xf numFmtId="177" fontId="6" fillId="0" borderId="1" xfId="0" applyNumberFormat="1" applyFont="1" applyBorder="1" applyAlignment="1">
      <alignment horizontal="center" vertical="center" wrapText="1"/>
    </xf>
    <xf numFmtId="0" fontId="6" fillId="0" borderId="1" xfId="51" applyFont="1" applyBorder="1" applyAlignment="1" applyProtection="1">
      <alignment vertical="center"/>
      <protection hidden="1"/>
    </xf>
    <xf numFmtId="178" fontId="6" fillId="0" borderId="1" xfId="0" applyNumberFormat="1" applyFont="1" applyBorder="1" applyAlignment="1">
      <alignment horizontal="center" vertical="center" wrapText="1"/>
    </xf>
    <xf numFmtId="179" fontId="6" fillId="0" borderId="1" xfId="0" applyNumberFormat="1" applyFont="1" applyBorder="1" applyAlignment="1" applyProtection="1">
      <alignment horizontal="center"/>
      <protection locked="0"/>
    </xf>
    <xf numFmtId="177" fontId="6" fillId="0" borderId="1" xfId="0" applyNumberFormat="1" applyFont="1" applyBorder="1" applyAlignment="1">
      <alignment horizontal="center" vertical="top" wrapText="1"/>
    </xf>
    <xf numFmtId="0" fontId="6" fillId="0" borderId="0" xfId="0" applyFont="1" applyAlignment="1">
      <alignment horizontal="left"/>
    </xf>
    <xf numFmtId="49" fontId="6" fillId="0" borderId="0" xfId="0" applyNumberFormat="1" applyFont="1"/>
    <xf numFmtId="0" fontId="6" fillId="0" borderId="0" xfId="0" applyFont="1" applyAlignment="1">
      <alignment horizontal="left" wrapText="1"/>
    </xf>
    <xf numFmtId="0" fontId="2" fillId="0" borderId="0" xfId="0" applyFont="1" applyAlignment="1" applyProtection="1">
      <alignment horizontal="center"/>
      <protection locked="0"/>
    </xf>
    <xf numFmtId="0" fontId="2" fillId="0" borderId="0" xfId="0" applyFont="1" applyProtection="1">
      <protection locked="0"/>
    </xf>
    <xf numFmtId="0" fontId="5" fillId="0" borderId="0" xfId="0" applyFont="1"/>
    <xf numFmtId="0" fontId="5" fillId="0" borderId="0" xfId="0" applyFont="1" applyAlignment="1">
      <alignment horizontal="left"/>
    </xf>
    <xf numFmtId="0" fontId="8" fillId="0" borderId="0" xfId="0" applyFont="1" applyAlignment="1">
      <alignment horizontal="left"/>
    </xf>
    <xf numFmtId="0" fontId="6" fillId="0" borderId="0" xfId="0" applyFont="1" applyAlignment="1">
      <alignment horizontal="right"/>
    </xf>
    <xf numFmtId="0" fontId="9" fillId="0" borderId="0" xfId="0" applyFont="1"/>
    <xf numFmtId="0" fontId="9" fillId="0" borderId="0" xfId="0" applyFont="1" applyAlignment="1">
      <alignment horizontal="left"/>
    </xf>
    <xf numFmtId="0" fontId="10" fillId="0" borderId="0" xfId="0" applyFont="1"/>
    <xf numFmtId="49" fontId="11" fillId="0" borderId="0" xfId="0" applyNumberFormat="1" applyFont="1" applyAlignment="1">
      <alignment horizontal="center" vertical="center" wrapText="1"/>
    </xf>
    <xf numFmtId="49" fontId="12" fillId="0" borderId="0" xfId="0" applyNumberFormat="1" applyFont="1" applyAlignment="1">
      <alignment horizontal="center" vertical="center" wrapText="1"/>
    </xf>
    <xf numFmtId="49" fontId="13" fillId="0" borderId="0" xfId="0" applyNumberFormat="1" applyFont="1" applyAlignment="1">
      <alignment horizontal="center" vertical="center" wrapText="1"/>
    </xf>
    <xf numFmtId="49" fontId="5" fillId="0" borderId="0" xfId="0" applyNumberFormat="1" applyFont="1" applyAlignment="1">
      <alignment horizontal="center" vertical="center" wrapText="1"/>
    </xf>
    <xf numFmtId="49" fontId="6" fillId="0" borderId="0" xfId="0" applyNumberFormat="1" applyFont="1" applyAlignment="1">
      <alignment horizontal="left" vertical="center" wrapText="1"/>
    </xf>
    <xf numFmtId="49" fontId="5" fillId="0" borderId="0" xfId="0" applyNumberFormat="1" applyFont="1" applyAlignment="1">
      <alignment horizontal="left" vertical="center" wrapText="1"/>
    </xf>
    <xf numFmtId="49" fontId="6" fillId="0" borderId="3" xfId="0" applyNumberFormat="1" applyFont="1" applyBorder="1" applyAlignment="1">
      <alignment horizontal="left" vertical="center" wrapText="1"/>
    </xf>
    <xf numFmtId="49" fontId="6" fillId="0" borderId="3" xfId="0" applyNumberFormat="1" applyFont="1" applyBorder="1" applyAlignment="1">
      <alignment vertical="center" wrapText="1"/>
    </xf>
    <xf numFmtId="49" fontId="8" fillId="0" borderId="0" xfId="0" applyNumberFormat="1" applyFont="1" applyAlignment="1">
      <alignment horizontal="left" vertical="center" wrapText="1"/>
    </xf>
    <xf numFmtId="0" fontId="14" fillId="2" borderId="1"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2" fillId="2" borderId="0" xfId="0" applyFont="1" applyFill="1" applyAlignment="1">
      <alignment horizontal="center" vertical="center" wrapText="1"/>
    </xf>
    <xf numFmtId="180" fontId="14"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3" fontId="6" fillId="2" borderId="1" xfId="0" applyNumberFormat="1" applyFont="1" applyFill="1" applyBorder="1" applyAlignment="1">
      <alignment horizontal="center" vertical="center" wrapText="1"/>
    </xf>
    <xf numFmtId="2" fontId="6" fillId="2" borderId="1" xfId="0" applyNumberFormat="1" applyFont="1" applyFill="1" applyBorder="1" applyAlignment="1">
      <alignment horizontal="center" vertical="center" wrapText="1"/>
    </xf>
    <xf numFmtId="180" fontId="2" fillId="2" borderId="1" xfId="0" applyNumberFormat="1" applyFont="1" applyFill="1" applyBorder="1" applyAlignment="1">
      <alignment horizontal="center" vertical="center" wrapText="1"/>
    </xf>
    <xf numFmtId="181" fontId="2"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182" fontId="2" fillId="2" borderId="1" xfId="0" applyNumberFormat="1" applyFont="1" applyFill="1" applyBorder="1" applyAlignment="1">
      <alignment horizontal="center" vertical="center" wrapText="1"/>
    </xf>
    <xf numFmtId="182" fontId="6" fillId="2" borderId="1" xfId="0" applyNumberFormat="1" applyFont="1" applyFill="1" applyBorder="1" applyAlignment="1">
      <alignment horizontal="center" vertical="center" wrapText="1"/>
    </xf>
    <xf numFmtId="0" fontId="14" fillId="2" borderId="1" xfId="0" applyFont="1" applyFill="1" applyBorder="1" applyAlignment="1">
      <alignment horizontal="right" vertical="center" wrapText="1"/>
    </xf>
    <xf numFmtId="183" fontId="2" fillId="2" borderId="1" xfId="0" applyNumberFormat="1" applyFont="1" applyFill="1" applyBorder="1" applyAlignment="1">
      <alignment horizontal="center" vertical="center" wrapText="1"/>
    </xf>
    <xf numFmtId="0" fontId="6" fillId="0" borderId="0" xfId="0" applyFont="1" applyAlignment="1">
      <alignment horizontal="center"/>
    </xf>
    <xf numFmtId="0" fontId="15" fillId="0" borderId="0" xfId="0" applyFont="1"/>
    <xf numFmtId="49" fontId="16" fillId="0" borderId="0" xfId="0" applyNumberFormat="1" applyFont="1" applyAlignment="1">
      <alignment horizontal="center" vertical="center" wrapText="1"/>
    </xf>
    <xf numFmtId="49" fontId="6" fillId="0" borderId="0" xfId="0" applyNumberFormat="1" applyFont="1" applyAlignment="1">
      <alignment horizontal="center" vertical="center" wrapText="1"/>
    </xf>
    <xf numFmtId="0" fontId="17" fillId="0" borderId="0" xfId="0" applyFont="1"/>
    <xf numFmtId="49" fontId="18" fillId="0" borderId="0" xfId="0" applyNumberFormat="1" applyFont="1" applyAlignment="1">
      <alignment horizontal="right" vertical="top" wrapText="1"/>
    </xf>
    <xf numFmtId="49" fontId="6" fillId="0" borderId="3" xfId="0" applyNumberFormat="1" applyFont="1" applyBorder="1" applyAlignment="1">
      <alignment horizontal="left" vertical="top" wrapText="1"/>
    </xf>
    <xf numFmtId="49" fontId="15" fillId="0" borderId="0" xfId="0" applyNumberFormat="1" applyFont="1" applyAlignment="1">
      <alignment vertical="top" wrapText="1"/>
    </xf>
    <xf numFmtId="49" fontId="6" fillId="0" borderId="3" xfId="0" applyNumberFormat="1" applyFont="1" applyBorder="1" applyAlignment="1">
      <alignment horizontal="left" vertical="top" wrapText="1"/>
    </xf>
    <xf numFmtId="49" fontId="5" fillId="0" borderId="1" xfId="0" applyNumberFormat="1"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xf>
    <xf numFmtId="0" fontId="15" fillId="0" borderId="8" xfId="0" applyFont="1" applyBorder="1" applyAlignment="1">
      <alignment horizontal="center" vertical="center"/>
    </xf>
    <xf numFmtId="0" fontId="15" fillId="0" borderId="1" xfId="0" applyFont="1" applyBorder="1" applyAlignment="1">
      <alignment horizontal="center" vertical="center"/>
    </xf>
    <xf numFmtId="184" fontId="15" fillId="0" borderId="1" xfId="0" applyNumberFormat="1" applyFont="1" applyBorder="1" applyAlignment="1">
      <alignment horizontal="center" vertical="center"/>
    </xf>
    <xf numFmtId="176" fontId="15" fillId="0" borderId="1" xfId="0" applyNumberFormat="1" applyFont="1" applyBorder="1" applyAlignment="1">
      <alignment horizontal="center" vertical="center"/>
    </xf>
    <xf numFmtId="0" fontId="15" fillId="0" borderId="9" xfId="0" applyFont="1" applyBorder="1" applyAlignment="1">
      <alignment horizontal="center" vertical="center"/>
    </xf>
    <xf numFmtId="0" fontId="15" fillId="0" borderId="0" xfId="0" applyFont="1" applyAlignment="1">
      <alignment horizontal="center" vertical="center"/>
    </xf>
    <xf numFmtId="0" fontId="15" fillId="0" borderId="10" xfId="0" applyFont="1" applyBorder="1" applyAlignment="1">
      <alignment horizontal="center" vertical="center"/>
    </xf>
    <xf numFmtId="0" fontId="18" fillId="0" borderId="2" xfId="0" applyFont="1" applyBorder="1" applyAlignment="1">
      <alignment horizontal="center" vertical="center"/>
    </xf>
    <xf numFmtId="0" fontId="18" fillId="0" borderId="4" xfId="0" applyFont="1" applyBorder="1" applyAlignment="1">
      <alignment horizontal="center" vertical="center"/>
    </xf>
    <xf numFmtId="0" fontId="18" fillId="0" borderId="5" xfId="0" applyFont="1" applyBorder="1" applyAlignment="1">
      <alignment horizontal="center" vertical="center"/>
    </xf>
    <xf numFmtId="176" fontId="18" fillId="0" borderId="1" xfId="0" applyNumberFormat="1" applyFont="1" applyBorder="1" applyAlignment="1">
      <alignment horizontal="center"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d__x000a_" xfId="49"/>
    <cellStyle name="常规 2" xfId="50"/>
    <cellStyle name="常规_Sheet1" xfId="51"/>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361950</xdr:colOff>
      <xdr:row>21</xdr:row>
      <xdr:rowOff>171450</xdr:rowOff>
    </xdr:from>
    <xdr:to>
      <xdr:col>4</xdr:col>
      <xdr:colOff>552450</xdr:colOff>
      <xdr:row>32</xdr:row>
      <xdr:rowOff>28575</xdr:rowOff>
    </xdr:to>
    <xdr:pic>
      <xdr:nvPicPr>
        <xdr:cNvPr id="4" name="图片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5553710" y="5572125"/>
          <a:ext cx="1480820"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
  <sheetViews>
    <sheetView view="pageBreakPreview" zoomScaleNormal="100" workbookViewId="0">
      <selection activeCell="J7" sqref="J7"/>
    </sheetView>
  </sheetViews>
  <sheetFormatPr defaultColWidth="9" defaultRowHeight="15"/>
  <cols>
    <col min="1" max="1" width="5.6" style="66" customWidth="1"/>
    <col min="2" max="2" width="10.8" style="66" customWidth="1"/>
    <col min="3" max="3" width="5.875" style="66" customWidth="1"/>
    <col min="4" max="4" width="21.125" style="66" customWidth="1"/>
    <col min="5" max="5" width="13.2666666666667" style="66" customWidth="1"/>
    <col min="6" max="6" width="12.375" style="66" customWidth="1"/>
    <col min="7" max="7" width="24.125" style="66" customWidth="1"/>
    <col min="8" max="8" width="22.375" style="66" customWidth="1"/>
    <col min="9" max="9" width="9.06666666666667" style="66"/>
    <col min="10" max="10" width="15.275" style="66"/>
    <col min="11" max="252" width="9.06666666666667" style="66"/>
    <col min="253" max="253" width="5.6" style="66" customWidth="1"/>
    <col min="254" max="254" width="10.8" style="66" customWidth="1"/>
    <col min="255" max="255" width="10" style="66" customWidth="1"/>
    <col min="256" max="256" width="8.46666666666667" style="66" customWidth="1"/>
    <col min="257" max="257" width="7.8" style="66" customWidth="1"/>
    <col min="258" max="258" width="6.53333333333333" style="66" customWidth="1"/>
    <col min="259" max="259" width="5.8" style="66" customWidth="1"/>
    <col min="260" max="260" width="3.13333333333333" style="66" customWidth="1"/>
    <col min="261" max="261" width="7.8" style="66" customWidth="1"/>
    <col min="262" max="262" width="9.66666666666667" style="66" customWidth="1"/>
    <col min="263" max="263" width="10" style="66" customWidth="1"/>
    <col min="264" max="264" width="14.0666666666667" style="66" customWidth="1"/>
    <col min="265" max="508" width="9.06666666666667" style="66"/>
    <col min="509" max="509" width="5.6" style="66" customWidth="1"/>
    <col min="510" max="510" width="10.8" style="66" customWidth="1"/>
    <col min="511" max="511" width="10" style="66" customWidth="1"/>
    <col min="512" max="512" width="8.46666666666667" style="66" customWidth="1"/>
    <col min="513" max="513" width="7.8" style="66" customWidth="1"/>
    <col min="514" max="514" width="6.53333333333333" style="66" customWidth="1"/>
    <col min="515" max="515" width="5.8" style="66" customWidth="1"/>
    <col min="516" max="516" width="3.13333333333333" style="66" customWidth="1"/>
    <col min="517" max="517" width="7.8" style="66" customWidth="1"/>
    <col min="518" max="518" width="9.66666666666667" style="66" customWidth="1"/>
    <col min="519" max="519" width="10" style="66" customWidth="1"/>
    <col min="520" max="520" width="14.0666666666667" style="66" customWidth="1"/>
    <col min="521" max="764" width="9.06666666666667" style="66"/>
    <col min="765" max="765" width="5.6" style="66" customWidth="1"/>
    <col min="766" max="766" width="10.8" style="66" customWidth="1"/>
    <col min="767" max="767" width="10" style="66" customWidth="1"/>
    <col min="768" max="768" width="8.46666666666667" style="66" customWidth="1"/>
    <col min="769" max="769" width="7.8" style="66" customWidth="1"/>
    <col min="770" max="770" width="6.53333333333333" style="66" customWidth="1"/>
    <col min="771" max="771" width="5.8" style="66" customWidth="1"/>
    <col min="772" max="772" width="3.13333333333333" style="66" customWidth="1"/>
    <col min="773" max="773" width="7.8" style="66" customWidth="1"/>
    <col min="774" max="774" width="9.66666666666667" style="66" customWidth="1"/>
    <col min="775" max="775" width="10" style="66" customWidth="1"/>
    <col min="776" max="776" width="14.0666666666667" style="66" customWidth="1"/>
    <col min="777" max="1020" width="9.06666666666667" style="66"/>
    <col min="1021" max="1021" width="5.6" style="66" customWidth="1"/>
    <col min="1022" max="1022" width="10.8" style="66" customWidth="1"/>
    <col min="1023" max="1023" width="10" style="66" customWidth="1"/>
    <col min="1024" max="1024" width="8.46666666666667" style="66" customWidth="1"/>
    <col min="1025" max="1025" width="7.8" style="66" customWidth="1"/>
    <col min="1026" max="1026" width="6.53333333333333" style="66" customWidth="1"/>
    <col min="1027" max="1027" width="5.8" style="66" customWidth="1"/>
    <col min="1028" max="1028" width="3.13333333333333" style="66" customWidth="1"/>
    <col min="1029" max="1029" width="7.8" style="66" customWidth="1"/>
    <col min="1030" max="1030" width="9.66666666666667" style="66" customWidth="1"/>
    <col min="1031" max="1031" width="10" style="66" customWidth="1"/>
    <col min="1032" max="1032" width="14.0666666666667" style="66" customWidth="1"/>
    <col min="1033" max="1276" width="9.06666666666667" style="66"/>
    <col min="1277" max="1277" width="5.6" style="66" customWidth="1"/>
    <col min="1278" max="1278" width="10.8" style="66" customWidth="1"/>
    <col min="1279" max="1279" width="10" style="66" customWidth="1"/>
    <col min="1280" max="1280" width="8.46666666666667" style="66" customWidth="1"/>
    <col min="1281" max="1281" width="7.8" style="66" customWidth="1"/>
    <col min="1282" max="1282" width="6.53333333333333" style="66" customWidth="1"/>
    <col min="1283" max="1283" width="5.8" style="66" customWidth="1"/>
    <col min="1284" max="1284" width="3.13333333333333" style="66" customWidth="1"/>
    <col min="1285" max="1285" width="7.8" style="66" customWidth="1"/>
    <col min="1286" max="1286" width="9.66666666666667" style="66" customWidth="1"/>
    <col min="1287" max="1287" width="10" style="66" customWidth="1"/>
    <col min="1288" max="1288" width="14.0666666666667" style="66" customWidth="1"/>
    <col min="1289" max="1532" width="9.06666666666667" style="66"/>
    <col min="1533" max="1533" width="5.6" style="66" customWidth="1"/>
    <col min="1534" max="1534" width="10.8" style="66" customWidth="1"/>
    <col min="1535" max="1535" width="10" style="66" customWidth="1"/>
    <col min="1536" max="1536" width="8.46666666666667" style="66" customWidth="1"/>
    <col min="1537" max="1537" width="7.8" style="66" customWidth="1"/>
    <col min="1538" max="1538" width="6.53333333333333" style="66" customWidth="1"/>
    <col min="1539" max="1539" width="5.8" style="66" customWidth="1"/>
    <col min="1540" max="1540" width="3.13333333333333" style="66" customWidth="1"/>
    <col min="1541" max="1541" width="7.8" style="66" customWidth="1"/>
    <col min="1542" max="1542" width="9.66666666666667" style="66" customWidth="1"/>
    <col min="1543" max="1543" width="10" style="66" customWidth="1"/>
    <col min="1544" max="1544" width="14.0666666666667" style="66" customWidth="1"/>
    <col min="1545" max="1788" width="9.06666666666667" style="66"/>
    <col min="1789" max="1789" width="5.6" style="66" customWidth="1"/>
    <col min="1790" max="1790" width="10.8" style="66" customWidth="1"/>
    <col min="1791" max="1791" width="10" style="66" customWidth="1"/>
    <col min="1792" max="1792" width="8.46666666666667" style="66" customWidth="1"/>
    <col min="1793" max="1793" width="7.8" style="66" customWidth="1"/>
    <col min="1794" max="1794" width="6.53333333333333" style="66" customWidth="1"/>
    <col min="1795" max="1795" width="5.8" style="66" customWidth="1"/>
    <col min="1796" max="1796" width="3.13333333333333" style="66" customWidth="1"/>
    <col min="1797" max="1797" width="7.8" style="66" customWidth="1"/>
    <col min="1798" max="1798" width="9.66666666666667" style="66" customWidth="1"/>
    <col min="1799" max="1799" width="10" style="66" customWidth="1"/>
    <col min="1800" max="1800" width="14.0666666666667" style="66" customWidth="1"/>
    <col min="1801" max="2044" width="9.06666666666667" style="66"/>
    <col min="2045" max="2045" width="5.6" style="66" customWidth="1"/>
    <col min="2046" max="2046" width="10.8" style="66" customWidth="1"/>
    <col min="2047" max="2047" width="10" style="66" customWidth="1"/>
    <col min="2048" max="2048" width="8.46666666666667" style="66" customWidth="1"/>
    <col min="2049" max="2049" width="7.8" style="66" customWidth="1"/>
    <col min="2050" max="2050" width="6.53333333333333" style="66" customWidth="1"/>
    <col min="2051" max="2051" width="5.8" style="66" customWidth="1"/>
    <col min="2052" max="2052" width="3.13333333333333" style="66" customWidth="1"/>
    <col min="2053" max="2053" width="7.8" style="66" customWidth="1"/>
    <col min="2054" max="2054" width="9.66666666666667" style="66" customWidth="1"/>
    <col min="2055" max="2055" width="10" style="66" customWidth="1"/>
    <col min="2056" max="2056" width="14.0666666666667" style="66" customWidth="1"/>
    <col min="2057" max="2300" width="9.06666666666667" style="66"/>
    <col min="2301" max="2301" width="5.6" style="66" customWidth="1"/>
    <col min="2302" max="2302" width="10.8" style="66" customWidth="1"/>
    <col min="2303" max="2303" width="10" style="66" customWidth="1"/>
    <col min="2304" max="2304" width="8.46666666666667" style="66" customWidth="1"/>
    <col min="2305" max="2305" width="7.8" style="66" customWidth="1"/>
    <col min="2306" max="2306" width="6.53333333333333" style="66" customWidth="1"/>
    <col min="2307" max="2307" width="5.8" style="66" customWidth="1"/>
    <col min="2308" max="2308" width="3.13333333333333" style="66" customWidth="1"/>
    <col min="2309" max="2309" width="7.8" style="66" customWidth="1"/>
    <col min="2310" max="2310" width="9.66666666666667" style="66" customWidth="1"/>
    <col min="2311" max="2311" width="10" style="66" customWidth="1"/>
    <col min="2312" max="2312" width="14.0666666666667" style="66" customWidth="1"/>
    <col min="2313" max="2556" width="9.06666666666667" style="66"/>
    <col min="2557" max="2557" width="5.6" style="66" customWidth="1"/>
    <col min="2558" max="2558" width="10.8" style="66" customWidth="1"/>
    <col min="2559" max="2559" width="10" style="66" customWidth="1"/>
    <col min="2560" max="2560" width="8.46666666666667" style="66" customWidth="1"/>
    <col min="2561" max="2561" width="7.8" style="66" customWidth="1"/>
    <col min="2562" max="2562" width="6.53333333333333" style="66" customWidth="1"/>
    <col min="2563" max="2563" width="5.8" style="66" customWidth="1"/>
    <col min="2564" max="2564" width="3.13333333333333" style="66" customWidth="1"/>
    <col min="2565" max="2565" width="7.8" style="66" customWidth="1"/>
    <col min="2566" max="2566" width="9.66666666666667" style="66" customWidth="1"/>
    <col min="2567" max="2567" width="10" style="66" customWidth="1"/>
    <col min="2568" max="2568" width="14.0666666666667" style="66" customWidth="1"/>
    <col min="2569" max="2812" width="9.06666666666667" style="66"/>
    <col min="2813" max="2813" width="5.6" style="66" customWidth="1"/>
    <col min="2814" max="2814" width="10.8" style="66" customWidth="1"/>
    <col min="2815" max="2815" width="10" style="66" customWidth="1"/>
    <col min="2816" max="2816" width="8.46666666666667" style="66" customWidth="1"/>
    <col min="2817" max="2817" width="7.8" style="66" customWidth="1"/>
    <col min="2818" max="2818" width="6.53333333333333" style="66" customWidth="1"/>
    <col min="2819" max="2819" width="5.8" style="66" customWidth="1"/>
    <col min="2820" max="2820" width="3.13333333333333" style="66" customWidth="1"/>
    <col min="2821" max="2821" width="7.8" style="66" customWidth="1"/>
    <col min="2822" max="2822" width="9.66666666666667" style="66" customWidth="1"/>
    <col min="2823" max="2823" width="10" style="66" customWidth="1"/>
    <col min="2824" max="2824" width="14.0666666666667" style="66" customWidth="1"/>
    <col min="2825" max="3068" width="9.06666666666667" style="66"/>
    <col min="3069" max="3069" width="5.6" style="66" customWidth="1"/>
    <col min="3070" max="3070" width="10.8" style="66" customWidth="1"/>
    <col min="3071" max="3071" width="10" style="66" customWidth="1"/>
    <col min="3072" max="3072" width="8.46666666666667" style="66" customWidth="1"/>
    <col min="3073" max="3073" width="7.8" style="66" customWidth="1"/>
    <col min="3074" max="3074" width="6.53333333333333" style="66" customWidth="1"/>
    <col min="3075" max="3075" width="5.8" style="66" customWidth="1"/>
    <col min="3076" max="3076" width="3.13333333333333" style="66" customWidth="1"/>
    <col min="3077" max="3077" width="7.8" style="66" customWidth="1"/>
    <col min="3078" max="3078" width="9.66666666666667" style="66" customWidth="1"/>
    <col min="3079" max="3079" width="10" style="66" customWidth="1"/>
    <col min="3080" max="3080" width="14.0666666666667" style="66" customWidth="1"/>
    <col min="3081" max="3324" width="9.06666666666667" style="66"/>
    <col min="3325" max="3325" width="5.6" style="66" customWidth="1"/>
    <col min="3326" max="3326" width="10.8" style="66" customWidth="1"/>
    <col min="3327" max="3327" width="10" style="66" customWidth="1"/>
    <col min="3328" max="3328" width="8.46666666666667" style="66" customWidth="1"/>
    <col min="3329" max="3329" width="7.8" style="66" customWidth="1"/>
    <col min="3330" max="3330" width="6.53333333333333" style="66" customWidth="1"/>
    <col min="3331" max="3331" width="5.8" style="66" customWidth="1"/>
    <col min="3332" max="3332" width="3.13333333333333" style="66" customWidth="1"/>
    <col min="3333" max="3333" width="7.8" style="66" customWidth="1"/>
    <col min="3334" max="3334" width="9.66666666666667" style="66" customWidth="1"/>
    <col min="3335" max="3335" width="10" style="66" customWidth="1"/>
    <col min="3336" max="3336" width="14.0666666666667" style="66" customWidth="1"/>
    <col min="3337" max="3580" width="9.06666666666667" style="66"/>
    <col min="3581" max="3581" width="5.6" style="66" customWidth="1"/>
    <col min="3582" max="3582" width="10.8" style="66" customWidth="1"/>
    <col min="3583" max="3583" width="10" style="66" customWidth="1"/>
    <col min="3584" max="3584" width="8.46666666666667" style="66" customWidth="1"/>
    <col min="3585" max="3585" width="7.8" style="66" customWidth="1"/>
    <col min="3586" max="3586" width="6.53333333333333" style="66" customWidth="1"/>
    <col min="3587" max="3587" width="5.8" style="66" customWidth="1"/>
    <col min="3588" max="3588" width="3.13333333333333" style="66" customWidth="1"/>
    <col min="3589" max="3589" width="7.8" style="66" customWidth="1"/>
    <col min="3590" max="3590" width="9.66666666666667" style="66" customWidth="1"/>
    <col min="3591" max="3591" width="10" style="66" customWidth="1"/>
    <col min="3592" max="3592" width="14.0666666666667" style="66" customWidth="1"/>
    <col min="3593" max="3836" width="9.06666666666667" style="66"/>
    <col min="3837" max="3837" width="5.6" style="66" customWidth="1"/>
    <col min="3838" max="3838" width="10.8" style="66" customWidth="1"/>
    <col min="3839" max="3839" width="10" style="66" customWidth="1"/>
    <col min="3840" max="3840" width="8.46666666666667" style="66" customWidth="1"/>
    <col min="3841" max="3841" width="7.8" style="66" customWidth="1"/>
    <col min="3842" max="3842" width="6.53333333333333" style="66" customWidth="1"/>
    <col min="3843" max="3843" width="5.8" style="66" customWidth="1"/>
    <col min="3844" max="3844" width="3.13333333333333" style="66" customWidth="1"/>
    <col min="3845" max="3845" width="7.8" style="66" customWidth="1"/>
    <col min="3846" max="3846" width="9.66666666666667" style="66" customWidth="1"/>
    <col min="3847" max="3847" width="10" style="66" customWidth="1"/>
    <col min="3848" max="3848" width="14.0666666666667" style="66" customWidth="1"/>
    <col min="3849" max="4092" width="9.06666666666667" style="66"/>
    <col min="4093" max="4093" width="5.6" style="66" customWidth="1"/>
    <col min="4094" max="4094" width="10.8" style="66" customWidth="1"/>
    <col min="4095" max="4095" width="10" style="66" customWidth="1"/>
    <col min="4096" max="4096" width="8.46666666666667" style="66" customWidth="1"/>
    <col min="4097" max="4097" width="7.8" style="66" customWidth="1"/>
    <col min="4098" max="4098" width="6.53333333333333" style="66" customWidth="1"/>
    <col min="4099" max="4099" width="5.8" style="66" customWidth="1"/>
    <col min="4100" max="4100" width="3.13333333333333" style="66" customWidth="1"/>
    <col min="4101" max="4101" width="7.8" style="66" customWidth="1"/>
    <col min="4102" max="4102" width="9.66666666666667" style="66" customWidth="1"/>
    <col min="4103" max="4103" width="10" style="66" customWidth="1"/>
    <col min="4104" max="4104" width="14.0666666666667" style="66" customWidth="1"/>
    <col min="4105" max="4348" width="9.06666666666667" style="66"/>
    <col min="4349" max="4349" width="5.6" style="66" customWidth="1"/>
    <col min="4350" max="4350" width="10.8" style="66" customWidth="1"/>
    <col min="4351" max="4351" width="10" style="66" customWidth="1"/>
    <col min="4352" max="4352" width="8.46666666666667" style="66" customWidth="1"/>
    <col min="4353" max="4353" width="7.8" style="66" customWidth="1"/>
    <col min="4354" max="4354" width="6.53333333333333" style="66" customWidth="1"/>
    <col min="4355" max="4355" width="5.8" style="66" customWidth="1"/>
    <col min="4356" max="4356" width="3.13333333333333" style="66" customWidth="1"/>
    <col min="4357" max="4357" width="7.8" style="66" customWidth="1"/>
    <col min="4358" max="4358" width="9.66666666666667" style="66" customWidth="1"/>
    <col min="4359" max="4359" width="10" style="66" customWidth="1"/>
    <col min="4360" max="4360" width="14.0666666666667" style="66" customWidth="1"/>
    <col min="4361" max="4604" width="9.06666666666667" style="66"/>
    <col min="4605" max="4605" width="5.6" style="66" customWidth="1"/>
    <col min="4606" max="4606" width="10.8" style="66" customWidth="1"/>
    <col min="4607" max="4607" width="10" style="66" customWidth="1"/>
    <col min="4608" max="4608" width="8.46666666666667" style="66" customWidth="1"/>
    <col min="4609" max="4609" width="7.8" style="66" customWidth="1"/>
    <col min="4610" max="4610" width="6.53333333333333" style="66" customWidth="1"/>
    <col min="4611" max="4611" width="5.8" style="66" customWidth="1"/>
    <col min="4612" max="4612" width="3.13333333333333" style="66" customWidth="1"/>
    <col min="4613" max="4613" width="7.8" style="66" customWidth="1"/>
    <col min="4614" max="4614" width="9.66666666666667" style="66" customWidth="1"/>
    <col min="4615" max="4615" width="10" style="66" customWidth="1"/>
    <col min="4616" max="4616" width="14.0666666666667" style="66" customWidth="1"/>
    <col min="4617" max="4860" width="9.06666666666667" style="66"/>
    <col min="4861" max="4861" width="5.6" style="66" customWidth="1"/>
    <col min="4862" max="4862" width="10.8" style="66" customWidth="1"/>
    <col min="4863" max="4863" width="10" style="66" customWidth="1"/>
    <col min="4864" max="4864" width="8.46666666666667" style="66" customWidth="1"/>
    <col min="4865" max="4865" width="7.8" style="66" customWidth="1"/>
    <col min="4866" max="4866" width="6.53333333333333" style="66" customWidth="1"/>
    <col min="4867" max="4867" width="5.8" style="66" customWidth="1"/>
    <col min="4868" max="4868" width="3.13333333333333" style="66" customWidth="1"/>
    <col min="4869" max="4869" width="7.8" style="66" customWidth="1"/>
    <col min="4870" max="4870" width="9.66666666666667" style="66" customWidth="1"/>
    <col min="4871" max="4871" width="10" style="66" customWidth="1"/>
    <col min="4872" max="4872" width="14.0666666666667" style="66" customWidth="1"/>
    <col min="4873" max="5116" width="9.06666666666667" style="66"/>
    <col min="5117" max="5117" width="5.6" style="66" customWidth="1"/>
    <col min="5118" max="5118" width="10.8" style="66" customWidth="1"/>
    <col min="5119" max="5119" width="10" style="66" customWidth="1"/>
    <col min="5120" max="5120" width="8.46666666666667" style="66" customWidth="1"/>
    <col min="5121" max="5121" width="7.8" style="66" customWidth="1"/>
    <col min="5122" max="5122" width="6.53333333333333" style="66" customWidth="1"/>
    <col min="5123" max="5123" width="5.8" style="66" customWidth="1"/>
    <col min="5124" max="5124" width="3.13333333333333" style="66" customWidth="1"/>
    <col min="5125" max="5125" width="7.8" style="66" customWidth="1"/>
    <col min="5126" max="5126" width="9.66666666666667" style="66" customWidth="1"/>
    <col min="5127" max="5127" width="10" style="66" customWidth="1"/>
    <col min="5128" max="5128" width="14.0666666666667" style="66" customWidth="1"/>
    <col min="5129" max="5372" width="9.06666666666667" style="66"/>
    <col min="5373" max="5373" width="5.6" style="66" customWidth="1"/>
    <col min="5374" max="5374" width="10.8" style="66" customWidth="1"/>
    <col min="5375" max="5375" width="10" style="66" customWidth="1"/>
    <col min="5376" max="5376" width="8.46666666666667" style="66" customWidth="1"/>
    <col min="5377" max="5377" width="7.8" style="66" customWidth="1"/>
    <col min="5378" max="5378" width="6.53333333333333" style="66" customWidth="1"/>
    <col min="5379" max="5379" width="5.8" style="66" customWidth="1"/>
    <col min="5380" max="5380" width="3.13333333333333" style="66" customWidth="1"/>
    <col min="5381" max="5381" width="7.8" style="66" customWidth="1"/>
    <col min="5382" max="5382" width="9.66666666666667" style="66" customWidth="1"/>
    <col min="5383" max="5383" width="10" style="66" customWidth="1"/>
    <col min="5384" max="5384" width="14.0666666666667" style="66" customWidth="1"/>
    <col min="5385" max="5628" width="9.06666666666667" style="66"/>
    <col min="5629" max="5629" width="5.6" style="66" customWidth="1"/>
    <col min="5630" max="5630" width="10.8" style="66" customWidth="1"/>
    <col min="5631" max="5631" width="10" style="66" customWidth="1"/>
    <col min="5632" max="5632" width="8.46666666666667" style="66" customWidth="1"/>
    <col min="5633" max="5633" width="7.8" style="66" customWidth="1"/>
    <col min="5634" max="5634" width="6.53333333333333" style="66" customWidth="1"/>
    <col min="5635" max="5635" width="5.8" style="66" customWidth="1"/>
    <col min="5636" max="5636" width="3.13333333333333" style="66" customWidth="1"/>
    <col min="5637" max="5637" width="7.8" style="66" customWidth="1"/>
    <col min="5638" max="5638" width="9.66666666666667" style="66" customWidth="1"/>
    <col min="5639" max="5639" width="10" style="66" customWidth="1"/>
    <col min="5640" max="5640" width="14.0666666666667" style="66" customWidth="1"/>
    <col min="5641" max="5884" width="9.06666666666667" style="66"/>
    <col min="5885" max="5885" width="5.6" style="66" customWidth="1"/>
    <col min="5886" max="5886" width="10.8" style="66" customWidth="1"/>
    <col min="5887" max="5887" width="10" style="66" customWidth="1"/>
    <col min="5888" max="5888" width="8.46666666666667" style="66" customWidth="1"/>
    <col min="5889" max="5889" width="7.8" style="66" customWidth="1"/>
    <col min="5890" max="5890" width="6.53333333333333" style="66" customWidth="1"/>
    <col min="5891" max="5891" width="5.8" style="66" customWidth="1"/>
    <col min="5892" max="5892" width="3.13333333333333" style="66" customWidth="1"/>
    <col min="5893" max="5893" width="7.8" style="66" customWidth="1"/>
    <col min="5894" max="5894" width="9.66666666666667" style="66" customWidth="1"/>
    <col min="5895" max="5895" width="10" style="66" customWidth="1"/>
    <col min="5896" max="5896" width="14.0666666666667" style="66" customWidth="1"/>
    <col min="5897" max="6140" width="9.06666666666667" style="66"/>
    <col min="6141" max="6141" width="5.6" style="66" customWidth="1"/>
    <col min="6142" max="6142" width="10.8" style="66" customWidth="1"/>
    <col min="6143" max="6143" width="10" style="66" customWidth="1"/>
    <col min="6144" max="6144" width="8.46666666666667" style="66" customWidth="1"/>
    <col min="6145" max="6145" width="7.8" style="66" customWidth="1"/>
    <col min="6146" max="6146" width="6.53333333333333" style="66" customWidth="1"/>
    <col min="6147" max="6147" width="5.8" style="66" customWidth="1"/>
    <col min="6148" max="6148" width="3.13333333333333" style="66" customWidth="1"/>
    <col min="6149" max="6149" width="7.8" style="66" customWidth="1"/>
    <col min="6150" max="6150" width="9.66666666666667" style="66" customWidth="1"/>
    <col min="6151" max="6151" width="10" style="66" customWidth="1"/>
    <col min="6152" max="6152" width="14.0666666666667" style="66" customWidth="1"/>
    <col min="6153" max="6396" width="9.06666666666667" style="66"/>
    <col min="6397" max="6397" width="5.6" style="66" customWidth="1"/>
    <col min="6398" max="6398" width="10.8" style="66" customWidth="1"/>
    <col min="6399" max="6399" width="10" style="66" customWidth="1"/>
    <col min="6400" max="6400" width="8.46666666666667" style="66" customWidth="1"/>
    <col min="6401" max="6401" width="7.8" style="66" customWidth="1"/>
    <col min="6402" max="6402" width="6.53333333333333" style="66" customWidth="1"/>
    <col min="6403" max="6403" width="5.8" style="66" customWidth="1"/>
    <col min="6404" max="6404" width="3.13333333333333" style="66" customWidth="1"/>
    <col min="6405" max="6405" width="7.8" style="66" customWidth="1"/>
    <col min="6406" max="6406" width="9.66666666666667" style="66" customWidth="1"/>
    <col min="6407" max="6407" width="10" style="66" customWidth="1"/>
    <col min="6408" max="6408" width="14.0666666666667" style="66" customWidth="1"/>
    <col min="6409" max="6652" width="9.06666666666667" style="66"/>
    <col min="6653" max="6653" width="5.6" style="66" customWidth="1"/>
    <col min="6654" max="6654" width="10.8" style="66" customWidth="1"/>
    <col min="6655" max="6655" width="10" style="66" customWidth="1"/>
    <col min="6656" max="6656" width="8.46666666666667" style="66" customWidth="1"/>
    <col min="6657" max="6657" width="7.8" style="66" customWidth="1"/>
    <col min="6658" max="6658" width="6.53333333333333" style="66" customWidth="1"/>
    <col min="6659" max="6659" width="5.8" style="66" customWidth="1"/>
    <col min="6660" max="6660" width="3.13333333333333" style="66" customWidth="1"/>
    <col min="6661" max="6661" width="7.8" style="66" customWidth="1"/>
    <col min="6662" max="6662" width="9.66666666666667" style="66" customWidth="1"/>
    <col min="6663" max="6663" width="10" style="66" customWidth="1"/>
    <col min="6664" max="6664" width="14.0666666666667" style="66" customWidth="1"/>
    <col min="6665" max="6908" width="9.06666666666667" style="66"/>
    <col min="6909" max="6909" width="5.6" style="66" customWidth="1"/>
    <col min="6910" max="6910" width="10.8" style="66" customWidth="1"/>
    <col min="6911" max="6911" width="10" style="66" customWidth="1"/>
    <col min="6912" max="6912" width="8.46666666666667" style="66" customWidth="1"/>
    <col min="6913" max="6913" width="7.8" style="66" customWidth="1"/>
    <col min="6914" max="6914" width="6.53333333333333" style="66" customWidth="1"/>
    <col min="6915" max="6915" width="5.8" style="66" customWidth="1"/>
    <col min="6916" max="6916" width="3.13333333333333" style="66" customWidth="1"/>
    <col min="6917" max="6917" width="7.8" style="66" customWidth="1"/>
    <col min="6918" max="6918" width="9.66666666666667" style="66" customWidth="1"/>
    <col min="6919" max="6919" width="10" style="66" customWidth="1"/>
    <col min="6920" max="6920" width="14.0666666666667" style="66" customWidth="1"/>
    <col min="6921" max="7164" width="9.06666666666667" style="66"/>
    <col min="7165" max="7165" width="5.6" style="66" customWidth="1"/>
    <col min="7166" max="7166" width="10.8" style="66" customWidth="1"/>
    <col min="7167" max="7167" width="10" style="66" customWidth="1"/>
    <col min="7168" max="7168" width="8.46666666666667" style="66" customWidth="1"/>
    <col min="7169" max="7169" width="7.8" style="66" customWidth="1"/>
    <col min="7170" max="7170" width="6.53333333333333" style="66" customWidth="1"/>
    <col min="7171" max="7171" width="5.8" style="66" customWidth="1"/>
    <col min="7172" max="7172" width="3.13333333333333" style="66" customWidth="1"/>
    <col min="7173" max="7173" width="7.8" style="66" customWidth="1"/>
    <col min="7174" max="7174" width="9.66666666666667" style="66" customWidth="1"/>
    <col min="7175" max="7175" width="10" style="66" customWidth="1"/>
    <col min="7176" max="7176" width="14.0666666666667" style="66" customWidth="1"/>
    <col min="7177" max="7420" width="9.06666666666667" style="66"/>
    <col min="7421" max="7421" width="5.6" style="66" customWidth="1"/>
    <col min="7422" max="7422" width="10.8" style="66" customWidth="1"/>
    <col min="7423" max="7423" width="10" style="66" customWidth="1"/>
    <col min="7424" max="7424" width="8.46666666666667" style="66" customWidth="1"/>
    <col min="7425" max="7425" width="7.8" style="66" customWidth="1"/>
    <col min="7426" max="7426" width="6.53333333333333" style="66" customWidth="1"/>
    <col min="7427" max="7427" width="5.8" style="66" customWidth="1"/>
    <col min="7428" max="7428" width="3.13333333333333" style="66" customWidth="1"/>
    <col min="7429" max="7429" width="7.8" style="66" customWidth="1"/>
    <col min="7430" max="7430" width="9.66666666666667" style="66" customWidth="1"/>
    <col min="7431" max="7431" width="10" style="66" customWidth="1"/>
    <col min="7432" max="7432" width="14.0666666666667" style="66" customWidth="1"/>
    <col min="7433" max="7676" width="9.06666666666667" style="66"/>
    <col min="7677" max="7677" width="5.6" style="66" customWidth="1"/>
    <col min="7678" max="7678" width="10.8" style="66" customWidth="1"/>
    <col min="7679" max="7679" width="10" style="66" customWidth="1"/>
    <col min="7680" max="7680" width="8.46666666666667" style="66" customWidth="1"/>
    <col min="7681" max="7681" width="7.8" style="66" customWidth="1"/>
    <col min="7682" max="7682" width="6.53333333333333" style="66" customWidth="1"/>
    <col min="7683" max="7683" width="5.8" style="66" customWidth="1"/>
    <col min="7684" max="7684" width="3.13333333333333" style="66" customWidth="1"/>
    <col min="7685" max="7685" width="7.8" style="66" customWidth="1"/>
    <col min="7686" max="7686" width="9.66666666666667" style="66" customWidth="1"/>
    <col min="7687" max="7687" width="10" style="66" customWidth="1"/>
    <col min="7688" max="7688" width="14.0666666666667" style="66" customWidth="1"/>
    <col min="7689" max="7932" width="9.06666666666667" style="66"/>
    <col min="7933" max="7933" width="5.6" style="66" customWidth="1"/>
    <col min="7934" max="7934" width="10.8" style="66" customWidth="1"/>
    <col min="7935" max="7935" width="10" style="66" customWidth="1"/>
    <col min="7936" max="7936" width="8.46666666666667" style="66" customWidth="1"/>
    <col min="7937" max="7937" width="7.8" style="66" customWidth="1"/>
    <col min="7938" max="7938" width="6.53333333333333" style="66" customWidth="1"/>
    <col min="7939" max="7939" width="5.8" style="66" customWidth="1"/>
    <col min="7940" max="7940" width="3.13333333333333" style="66" customWidth="1"/>
    <col min="7941" max="7941" width="7.8" style="66" customWidth="1"/>
    <col min="7942" max="7942" width="9.66666666666667" style="66" customWidth="1"/>
    <col min="7943" max="7943" width="10" style="66" customWidth="1"/>
    <col min="7944" max="7944" width="14.0666666666667" style="66" customWidth="1"/>
    <col min="7945" max="8188" width="9.06666666666667" style="66"/>
    <col min="8189" max="8189" width="5.6" style="66" customWidth="1"/>
    <col min="8190" max="8190" width="10.8" style="66" customWidth="1"/>
    <col min="8191" max="8191" width="10" style="66" customWidth="1"/>
    <col min="8192" max="8192" width="8.46666666666667" style="66" customWidth="1"/>
    <col min="8193" max="8193" width="7.8" style="66" customWidth="1"/>
    <col min="8194" max="8194" width="6.53333333333333" style="66" customWidth="1"/>
    <col min="8195" max="8195" width="5.8" style="66" customWidth="1"/>
    <col min="8196" max="8196" width="3.13333333333333" style="66" customWidth="1"/>
    <col min="8197" max="8197" width="7.8" style="66" customWidth="1"/>
    <col min="8198" max="8198" width="9.66666666666667" style="66" customWidth="1"/>
    <col min="8199" max="8199" width="10" style="66" customWidth="1"/>
    <col min="8200" max="8200" width="14.0666666666667" style="66" customWidth="1"/>
    <col min="8201" max="8444" width="9.06666666666667" style="66"/>
    <col min="8445" max="8445" width="5.6" style="66" customWidth="1"/>
    <col min="8446" max="8446" width="10.8" style="66" customWidth="1"/>
    <col min="8447" max="8447" width="10" style="66" customWidth="1"/>
    <col min="8448" max="8448" width="8.46666666666667" style="66" customWidth="1"/>
    <col min="8449" max="8449" width="7.8" style="66" customWidth="1"/>
    <col min="8450" max="8450" width="6.53333333333333" style="66" customWidth="1"/>
    <col min="8451" max="8451" width="5.8" style="66" customWidth="1"/>
    <col min="8452" max="8452" width="3.13333333333333" style="66" customWidth="1"/>
    <col min="8453" max="8453" width="7.8" style="66" customWidth="1"/>
    <col min="8454" max="8454" width="9.66666666666667" style="66" customWidth="1"/>
    <col min="8455" max="8455" width="10" style="66" customWidth="1"/>
    <col min="8456" max="8456" width="14.0666666666667" style="66" customWidth="1"/>
    <col min="8457" max="8700" width="9.06666666666667" style="66"/>
    <col min="8701" max="8701" width="5.6" style="66" customWidth="1"/>
    <col min="8702" max="8702" width="10.8" style="66" customWidth="1"/>
    <col min="8703" max="8703" width="10" style="66" customWidth="1"/>
    <col min="8704" max="8704" width="8.46666666666667" style="66" customWidth="1"/>
    <col min="8705" max="8705" width="7.8" style="66" customWidth="1"/>
    <col min="8706" max="8706" width="6.53333333333333" style="66" customWidth="1"/>
    <col min="8707" max="8707" width="5.8" style="66" customWidth="1"/>
    <col min="8708" max="8708" width="3.13333333333333" style="66" customWidth="1"/>
    <col min="8709" max="8709" width="7.8" style="66" customWidth="1"/>
    <col min="8710" max="8710" width="9.66666666666667" style="66" customWidth="1"/>
    <col min="8711" max="8711" width="10" style="66" customWidth="1"/>
    <col min="8712" max="8712" width="14.0666666666667" style="66" customWidth="1"/>
    <col min="8713" max="8956" width="9.06666666666667" style="66"/>
    <col min="8957" max="8957" width="5.6" style="66" customWidth="1"/>
    <col min="8958" max="8958" width="10.8" style="66" customWidth="1"/>
    <col min="8959" max="8959" width="10" style="66" customWidth="1"/>
    <col min="8960" max="8960" width="8.46666666666667" style="66" customWidth="1"/>
    <col min="8961" max="8961" width="7.8" style="66" customWidth="1"/>
    <col min="8962" max="8962" width="6.53333333333333" style="66" customWidth="1"/>
    <col min="8963" max="8963" width="5.8" style="66" customWidth="1"/>
    <col min="8964" max="8964" width="3.13333333333333" style="66" customWidth="1"/>
    <col min="8965" max="8965" width="7.8" style="66" customWidth="1"/>
    <col min="8966" max="8966" width="9.66666666666667" style="66" customWidth="1"/>
    <col min="8967" max="8967" width="10" style="66" customWidth="1"/>
    <col min="8968" max="8968" width="14.0666666666667" style="66" customWidth="1"/>
    <col min="8969" max="9212" width="9.06666666666667" style="66"/>
    <col min="9213" max="9213" width="5.6" style="66" customWidth="1"/>
    <col min="9214" max="9214" width="10.8" style="66" customWidth="1"/>
    <col min="9215" max="9215" width="10" style="66" customWidth="1"/>
    <col min="9216" max="9216" width="8.46666666666667" style="66" customWidth="1"/>
    <col min="9217" max="9217" width="7.8" style="66" customWidth="1"/>
    <col min="9218" max="9218" width="6.53333333333333" style="66" customWidth="1"/>
    <col min="9219" max="9219" width="5.8" style="66" customWidth="1"/>
    <col min="9220" max="9220" width="3.13333333333333" style="66" customWidth="1"/>
    <col min="9221" max="9221" width="7.8" style="66" customWidth="1"/>
    <col min="9222" max="9222" width="9.66666666666667" style="66" customWidth="1"/>
    <col min="9223" max="9223" width="10" style="66" customWidth="1"/>
    <col min="9224" max="9224" width="14.0666666666667" style="66" customWidth="1"/>
    <col min="9225" max="9468" width="9.06666666666667" style="66"/>
    <col min="9469" max="9469" width="5.6" style="66" customWidth="1"/>
    <col min="9470" max="9470" width="10.8" style="66" customWidth="1"/>
    <col min="9471" max="9471" width="10" style="66" customWidth="1"/>
    <col min="9472" max="9472" width="8.46666666666667" style="66" customWidth="1"/>
    <col min="9473" max="9473" width="7.8" style="66" customWidth="1"/>
    <col min="9474" max="9474" width="6.53333333333333" style="66" customWidth="1"/>
    <col min="9475" max="9475" width="5.8" style="66" customWidth="1"/>
    <col min="9476" max="9476" width="3.13333333333333" style="66" customWidth="1"/>
    <col min="9477" max="9477" width="7.8" style="66" customWidth="1"/>
    <col min="9478" max="9478" width="9.66666666666667" style="66" customWidth="1"/>
    <col min="9479" max="9479" width="10" style="66" customWidth="1"/>
    <col min="9480" max="9480" width="14.0666666666667" style="66" customWidth="1"/>
    <col min="9481" max="9724" width="9.06666666666667" style="66"/>
    <col min="9725" max="9725" width="5.6" style="66" customWidth="1"/>
    <col min="9726" max="9726" width="10.8" style="66" customWidth="1"/>
    <col min="9727" max="9727" width="10" style="66" customWidth="1"/>
    <col min="9728" max="9728" width="8.46666666666667" style="66" customWidth="1"/>
    <col min="9729" max="9729" width="7.8" style="66" customWidth="1"/>
    <col min="9730" max="9730" width="6.53333333333333" style="66" customWidth="1"/>
    <col min="9731" max="9731" width="5.8" style="66" customWidth="1"/>
    <col min="9732" max="9732" width="3.13333333333333" style="66" customWidth="1"/>
    <col min="9733" max="9733" width="7.8" style="66" customWidth="1"/>
    <col min="9734" max="9734" width="9.66666666666667" style="66" customWidth="1"/>
    <col min="9735" max="9735" width="10" style="66" customWidth="1"/>
    <col min="9736" max="9736" width="14.0666666666667" style="66" customWidth="1"/>
    <col min="9737" max="9980" width="9.06666666666667" style="66"/>
    <col min="9981" max="9981" width="5.6" style="66" customWidth="1"/>
    <col min="9982" max="9982" width="10.8" style="66" customWidth="1"/>
    <col min="9983" max="9983" width="10" style="66" customWidth="1"/>
    <col min="9984" max="9984" width="8.46666666666667" style="66" customWidth="1"/>
    <col min="9985" max="9985" width="7.8" style="66" customWidth="1"/>
    <col min="9986" max="9986" width="6.53333333333333" style="66" customWidth="1"/>
    <col min="9987" max="9987" width="5.8" style="66" customWidth="1"/>
    <col min="9988" max="9988" width="3.13333333333333" style="66" customWidth="1"/>
    <col min="9989" max="9989" width="7.8" style="66" customWidth="1"/>
    <col min="9990" max="9990" width="9.66666666666667" style="66" customWidth="1"/>
    <col min="9991" max="9991" width="10" style="66" customWidth="1"/>
    <col min="9992" max="9992" width="14.0666666666667" style="66" customWidth="1"/>
    <col min="9993" max="10236" width="9.06666666666667" style="66"/>
    <col min="10237" max="10237" width="5.6" style="66" customWidth="1"/>
    <col min="10238" max="10238" width="10.8" style="66" customWidth="1"/>
    <col min="10239" max="10239" width="10" style="66" customWidth="1"/>
    <col min="10240" max="10240" width="8.46666666666667" style="66" customWidth="1"/>
    <col min="10241" max="10241" width="7.8" style="66" customWidth="1"/>
    <col min="10242" max="10242" width="6.53333333333333" style="66" customWidth="1"/>
    <col min="10243" max="10243" width="5.8" style="66" customWidth="1"/>
    <col min="10244" max="10244" width="3.13333333333333" style="66" customWidth="1"/>
    <col min="10245" max="10245" width="7.8" style="66" customWidth="1"/>
    <col min="10246" max="10246" width="9.66666666666667" style="66" customWidth="1"/>
    <col min="10247" max="10247" width="10" style="66" customWidth="1"/>
    <col min="10248" max="10248" width="14.0666666666667" style="66" customWidth="1"/>
    <col min="10249" max="10492" width="9.06666666666667" style="66"/>
    <col min="10493" max="10493" width="5.6" style="66" customWidth="1"/>
    <col min="10494" max="10494" width="10.8" style="66" customWidth="1"/>
    <col min="10495" max="10495" width="10" style="66" customWidth="1"/>
    <col min="10496" max="10496" width="8.46666666666667" style="66" customWidth="1"/>
    <col min="10497" max="10497" width="7.8" style="66" customWidth="1"/>
    <col min="10498" max="10498" width="6.53333333333333" style="66" customWidth="1"/>
    <col min="10499" max="10499" width="5.8" style="66" customWidth="1"/>
    <col min="10500" max="10500" width="3.13333333333333" style="66" customWidth="1"/>
    <col min="10501" max="10501" width="7.8" style="66" customWidth="1"/>
    <col min="10502" max="10502" width="9.66666666666667" style="66" customWidth="1"/>
    <col min="10503" max="10503" width="10" style="66" customWidth="1"/>
    <col min="10504" max="10504" width="14.0666666666667" style="66" customWidth="1"/>
    <col min="10505" max="10748" width="9.06666666666667" style="66"/>
    <col min="10749" max="10749" width="5.6" style="66" customWidth="1"/>
    <col min="10750" max="10750" width="10.8" style="66" customWidth="1"/>
    <col min="10751" max="10751" width="10" style="66" customWidth="1"/>
    <col min="10752" max="10752" width="8.46666666666667" style="66" customWidth="1"/>
    <col min="10753" max="10753" width="7.8" style="66" customWidth="1"/>
    <col min="10754" max="10754" width="6.53333333333333" style="66" customWidth="1"/>
    <col min="10755" max="10755" width="5.8" style="66" customWidth="1"/>
    <col min="10756" max="10756" width="3.13333333333333" style="66" customWidth="1"/>
    <col min="10757" max="10757" width="7.8" style="66" customWidth="1"/>
    <col min="10758" max="10758" width="9.66666666666667" style="66" customWidth="1"/>
    <col min="10759" max="10759" width="10" style="66" customWidth="1"/>
    <col min="10760" max="10760" width="14.0666666666667" style="66" customWidth="1"/>
    <col min="10761" max="11004" width="9.06666666666667" style="66"/>
    <col min="11005" max="11005" width="5.6" style="66" customWidth="1"/>
    <col min="11006" max="11006" width="10.8" style="66" customWidth="1"/>
    <col min="11007" max="11007" width="10" style="66" customWidth="1"/>
    <col min="11008" max="11008" width="8.46666666666667" style="66" customWidth="1"/>
    <col min="11009" max="11009" width="7.8" style="66" customWidth="1"/>
    <col min="11010" max="11010" width="6.53333333333333" style="66" customWidth="1"/>
    <col min="11011" max="11011" width="5.8" style="66" customWidth="1"/>
    <col min="11012" max="11012" width="3.13333333333333" style="66" customWidth="1"/>
    <col min="11013" max="11013" width="7.8" style="66" customWidth="1"/>
    <col min="11014" max="11014" width="9.66666666666667" style="66" customWidth="1"/>
    <col min="11015" max="11015" width="10" style="66" customWidth="1"/>
    <col min="11016" max="11016" width="14.0666666666667" style="66" customWidth="1"/>
    <col min="11017" max="11260" width="9.06666666666667" style="66"/>
    <col min="11261" max="11261" width="5.6" style="66" customWidth="1"/>
    <col min="11262" max="11262" width="10.8" style="66" customWidth="1"/>
    <col min="11263" max="11263" width="10" style="66" customWidth="1"/>
    <col min="11264" max="11264" width="8.46666666666667" style="66" customWidth="1"/>
    <col min="11265" max="11265" width="7.8" style="66" customWidth="1"/>
    <col min="11266" max="11266" width="6.53333333333333" style="66" customWidth="1"/>
    <col min="11267" max="11267" width="5.8" style="66" customWidth="1"/>
    <col min="11268" max="11268" width="3.13333333333333" style="66" customWidth="1"/>
    <col min="11269" max="11269" width="7.8" style="66" customWidth="1"/>
    <col min="11270" max="11270" width="9.66666666666667" style="66" customWidth="1"/>
    <col min="11271" max="11271" width="10" style="66" customWidth="1"/>
    <col min="11272" max="11272" width="14.0666666666667" style="66" customWidth="1"/>
    <col min="11273" max="11516" width="9.06666666666667" style="66"/>
    <col min="11517" max="11517" width="5.6" style="66" customWidth="1"/>
    <col min="11518" max="11518" width="10.8" style="66" customWidth="1"/>
    <col min="11519" max="11519" width="10" style="66" customWidth="1"/>
    <col min="11520" max="11520" width="8.46666666666667" style="66" customWidth="1"/>
    <col min="11521" max="11521" width="7.8" style="66" customWidth="1"/>
    <col min="11522" max="11522" width="6.53333333333333" style="66" customWidth="1"/>
    <col min="11523" max="11523" width="5.8" style="66" customWidth="1"/>
    <col min="11524" max="11524" width="3.13333333333333" style="66" customWidth="1"/>
    <col min="11525" max="11525" width="7.8" style="66" customWidth="1"/>
    <col min="11526" max="11526" width="9.66666666666667" style="66" customWidth="1"/>
    <col min="11527" max="11527" width="10" style="66" customWidth="1"/>
    <col min="11528" max="11528" width="14.0666666666667" style="66" customWidth="1"/>
    <col min="11529" max="11772" width="9.06666666666667" style="66"/>
    <col min="11773" max="11773" width="5.6" style="66" customWidth="1"/>
    <col min="11774" max="11774" width="10.8" style="66" customWidth="1"/>
    <col min="11775" max="11775" width="10" style="66" customWidth="1"/>
    <col min="11776" max="11776" width="8.46666666666667" style="66" customWidth="1"/>
    <col min="11777" max="11777" width="7.8" style="66" customWidth="1"/>
    <col min="11778" max="11778" width="6.53333333333333" style="66" customWidth="1"/>
    <col min="11779" max="11779" width="5.8" style="66" customWidth="1"/>
    <col min="11780" max="11780" width="3.13333333333333" style="66" customWidth="1"/>
    <col min="11781" max="11781" width="7.8" style="66" customWidth="1"/>
    <col min="11782" max="11782" width="9.66666666666667" style="66" customWidth="1"/>
    <col min="11783" max="11783" width="10" style="66" customWidth="1"/>
    <col min="11784" max="11784" width="14.0666666666667" style="66" customWidth="1"/>
    <col min="11785" max="12028" width="9.06666666666667" style="66"/>
    <col min="12029" max="12029" width="5.6" style="66" customWidth="1"/>
    <col min="12030" max="12030" width="10.8" style="66" customWidth="1"/>
    <col min="12031" max="12031" width="10" style="66" customWidth="1"/>
    <col min="12032" max="12032" width="8.46666666666667" style="66" customWidth="1"/>
    <col min="12033" max="12033" width="7.8" style="66" customWidth="1"/>
    <col min="12034" max="12034" width="6.53333333333333" style="66" customWidth="1"/>
    <col min="12035" max="12035" width="5.8" style="66" customWidth="1"/>
    <col min="12036" max="12036" width="3.13333333333333" style="66" customWidth="1"/>
    <col min="12037" max="12037" width="7.8" style="66" customWidth="1"/>
    <col min="12038" max="12038" width="9.66666666666667" style="66" customWidth="1"/>
    <col min="12039" max="12039" width="10" style="66" customWidth="1"/>
    <col min="12040" max="12040" width="14.0666666666667" style="66" customWidth="1"/>
    <col min="12041" max="12284" width="9.06666666666667" style="66"/>
    <col min="12285" max="12285" width="5.6" style="66" customWidth="1"/>
    <col min="12286" max="12286" width="10.8" style="66" customWidth="1"/>
    <col min="12287" max="12287" width="10" style="66" customWidth="1"/>
    <col min="12288" max="12288" width="8.46666666666667" style="66" customWidth="1"/>
    <col min="12289" max="12289" width="7.8" style="66" customWidth="1"/>
    <col min="12290" max="12290" width="6.53333333333333" style="66" customWidth="1"/>
    <col min="12291" max="12291" width="5.8" style="66" customWidth="1"/>
    <col min="12292" max="12292" width="3.13333333333333" style="66" customWidth="1"/>
    <col min="12293" max="12293" width="7.8" style="66" customWidth="1"/>
    <col min="12294" max="12294" width="9.66666666666667" style="66" customWidth="1"/>
    <col min="12295" max="12295" width="10" style="66" customWidth="1"/>
    <col min="12296" max="12296" width="14.0666666666667" style="66" customWidth="1"/>
    <col min="12297" max="12540" width="9.06666666666667" style="66"/>
    <col min="12541" max="12541" width="5.6" style="66" customWidth="1"/>
    <col min="12542" max="12542" width="10.8" style="66" customWidth="1"/>
    <col min="12543" max="12543" width="10" style="66" customWidth="1"/>
    <col min="12544" max="12544" width="8.46666666666667" style="66" customWidth="1"/>
    <col min="12545" max="12545" width="7.8" style="66" customWidth="1"/>
    <col min="12546" max="12546" width="6.53333333333333" style="66" customWidth="1"/>
    <col min="12547" max="12547" width="5.8" style="66" customWidth="1"/>
    <col min="12548" max="12548" width="3.13333333333333" style="66" customWidth="1"/>
    <col min="12549" max="12549" width="7.8" style="66" customWidth="1"/>
    <col min="12550" max="12550" width="9.66666666666667" style="66" customWidth="1"/>
    <col min="12551" max="12551" width="10" style="66" customWidth="1"/>
    <col min="12552" max="12552" width="14.0666666666667" style="66" customWidth="1"/>
    <col min="12553" max="12796" width="9.06666666666667" style="66"/>
    <col min="12797" max="12797" width="5.6" style="66" customWidth="1"/>
    <col min="12798" max="12798" width="10.8" style="66" customWidth="1"/>
    <col min="12799" max="12799" width="10" style="66" customWidth="1"/>
    <col min="12800" max="12800" width="8.46666666666667" style="66" customWidth="1"/>
    <col min="12801" max="12801" width="7.8" style="66" customWidth="1"/>
    <col min="12802" max="12802" width="6.53333333333333" style="66" customWidth="1"/>
    <col min="12803" max="12803" width="5.8" style="66" customWidth="1"/>
    <col min="12804" max="12804" width="3.13333333333333" style="66" customWidth="1"/>
    <col min="12805" max="12805" width="7.8" style="66" customWidth="1"/>
    <col min="12806" max="12806" width="9.66666666666667" style="66" customWidth="1"/>
    <col min="12807" max="12807" width="10" style="66" customWidth="1"/>
    <col min="12808" max="12808" width="14.0666666666667" style="66" customWidth="1"/>
    <col min="12809" max="13052" width="9.06666666666667" style="66"/>
    <col min="13053" max="13053" width="5.6" style="66" customWidth="1"/>
    <col min="13054" max="13054" width="10.8" style="66" customWidth="1"/>
    <col min="13055" max="13055" width="10" style="66" customWidth="1"/>
    <col min="13056" max="13056" width="8.46666666666667" style="66" customWidth="1"/>
    <col min="13057" max="13057" width="7.8" style="66" customWidth="1"/>
    <col min="13058" max="13058" width="6.53333333333333" style="66" customWidth="1"/>
    <col min="13059" max="13059" width="5.8" style="66" customWidth="1"/>
    <col min="13060" max="13060" width="3.13333333333333" style="66" customWidth="1"/>
    <col min="13061" max="13061" width="7.8" style="66" customWidth="1"/>
    <col min="13062" max="13062" width="9.66666666666667" style="66" customWidth="1"/>
    <col min="13063" max="13063" width="10" style="66" customWidth="1"/>
    <col min="13064" max="13064" width="14.0666666666667" style="66" customWidth="1"/>
    <col min="13065" max="13308" width="9.06666666666667" style="66"/>
    <col min="13309" max="13309" width="5.6" style="66" customWidth="1"/>
    <col min="13310" max="13310" width="10.8" style="66" customWidth="1"/>
    <col min="13311" max="13311" width="10" style="66" customWidth="1"/>
    <col min="13312" max="13312" width="8.46666666666667" style="66" customWidth="1"/>
    <col min="13313" max="13313" width="7.8" style="66" customWidth="1"/>
    <col min="13314" max="13314" width="6.53333333333333" style="66" customWidth="1"/>
    <col min="13315" max="13315" width="5.8" style="66" customWidth="1"/>
    <col min="13316" max="13316" width="3.13333333333333" style="66" customWidth="1"/>
    <col min="13317" max="13317" width="7.8" style="66" customWidth="1"/>
    <col min="13318" max="13318" width="9.66666666666667" style="66" customWidth="1"/>
    <col min="13319" max="13319" width="10" style="66" customWidth="1"/>
    <col min="13320" max="13320" width="14.0666666666667" style="66" customWidth="1"/>
    <col min="13321" max="13564" width="9.06666666666667" style="66"/>
    <col min="13565" max="13565" width="5.6" style="66" customWidth="1"/>
    <col min="13566" max="13566" width="10.8" style="66" customWidth="1"/>
    <col min="13567" max="13567" width="10" style="66" customWidth="1"/>
    <col min="13568" max="13568" width="8.46666666666667" style="66" customWidth="1"/>
    <col min="13569" max="13569" width="7.8" style="66" customWidth="1"/>
    <col min="13570" max="13570" width="6.53333333333333" style="66" customWidth="1"/>
    <col min="13571" max="13571" width="5.8" style="66" customWidth="1"/>
    <col min="13572" max="13572" width="3.13333333333333" style="66" customWidth="1"/>
    <col min="13573" max="13573" width="7.8" style="66" customWidth="1"/>
    <col min="13574" max="13574" width="9.66666666666667" style="66" customWidth="1"/>
    <col min="13575" max="13575" width="10" style="66" customWidth="1"/>
    <col min="13576" max="13576" width="14.0666666666667" style="66" customWidth="1"/>
    <col min="13577" max="13820" width="9.06666666666667" style="66"/>
    <col min="13821" max="13821" width="5.6" style="66" customWidth="1"/>
    <col min="13822" max="13822" width="10.8" style="66" customWidth="1"/>
    <col min="13823" max="13823" width="10" style="66" customWidth="1"/>
    <col min="13824" max="13824" width="8.46666666666667" style="66" customWidth="1"/>
    <col min="13825" max="13825" width="7.8" style="66" customWidth="1"/>
    <col min="13826" max="13826" width="6.53333333333333" style="66" customWidth="1"/>
    <col min="13827" max="13827" width="5.8" style="66" customWidth="1"/>
    <col min="13828" max="13828" width="3.13333333333333" style="66" customWidth="1"/>
    <col min="13829" max="13829" width="7.8" style="66" customWidth="1"/>
    <col min="13830" max="13830" width="9.66666666666667" style="66" customWidth="1"/>
    <col min="13831" max="13831" width="10" style="66" customWidth="1"/>
    <col min="13832" max="13832" width="14.0666666666667" style="66" customWidth="1"/>
    <col min="13833" max="14076" width="9.06666666666667" style="66"/>
    <col min="14077" max="14077" width="5.6" style="66" customWidth="1"/>
    <col min="14078" max="14078" width="10.8" style="66" customWidth="1"/>
    <col min="14079" max="14079" width="10" style="66" customWidth="1"/>
    <col min="14080" max="14080" width="8.46666666666667" style="66" customWidth="1"/>
    <col min="14081" max="14081" width="7.8" style="66" customWidth="1"/>
    <col min="14082" max="14082" width="6.53333333333333" style="66" customWidth="1"/>
    <col min="14083" max="14083" width="5.8" style="66" customWidth="1"/>
    <col min="14084" max="14084" width="3.13333333333333" style="66" customWidth="1"/>
    <col min="14085" max="14085" width="7.8" style="66" customWidth="1"/>
    <col min="14086" max="14086" width="9.66666666666667" style="66" customWidth="1"/>
    <col min="14087" max="14087" width="10" style="66" customWidth="1"/>
    <col min="14088" max="14088" width="14.0666666666667" style="66" customWidth="1"/>
    <col min="14089" max="14332" width="9.06666666666667" style="66"/>
    <col min="14333" max="14333" width="5.6" style="66" customWidth="1"/>
    <col min="14334" max="14334" width="10.8" style="66" customWidth="1"/>
    <col min="14335" max="14335" width="10" style="66" customWidth="1"/>
    <col min="14336" max="14336" width="8.46666666666667" style="66" customWidth="1"/>
    <col min="14337" max="14337" width="7.8" style="66" customWidth="1"/>
    <col min="14338" max="14338" width="6.53333333333333" style="66" customWidth="1"/>
    <col min="14339" max="14339" width="5.8" style="66" customWidth="1"/>
    <col min="14340" max="14340" width="3.13333333333333" style="66" customWidth="1"/>
    <col min="14341" max="14341" width="7.8" style="66" customWidth="1"/>
    <col min="14342" max="14342" width="9.66666666666667" style="66" customWidth="1"/>
    <col min="14343" max="14343" width="10" style="66" customWidth="1"/>
    <col min="14344" max="14344" width="14.0666666666667" style="66" customWidth="1"/>
    <col min="14345" max="14588" width="9.06666666666667" style="66"/>
    <col min="14589" max="14589" width="5.6" style="66" customWidth="1"/>
    <col min="14590" max="14590" width="10.8" style="66" customWidth="1"/>
    <col min="14591" max="14591" width="10" style="66" customWidth="1"/>
    <col min="14592" max="14592" width="8.46666666666667" style="66" customWidth="1"/>
    <col min="14593" max="14593" width="7.8" style="66" customWidth="1"/>
    <col min="14594" max="14594" width="6.53333333333333" style="66" customWidth="1"/>
    <col min="14595" max="14595" width="5.8" style="66" customWidth="1"/>
    <col min="14596" max="14596" width="3.13333333333333" style="66" customWidth="1"/>
    <col min="14597" max="14597" width="7.8" style="66" customWidth="1"/>
    <col min="14598" max="14598" width="9.66666666666667" style="66" customWidth="1"/>
    <col min="14599" max="14599" width="10" style="66" customWidth="1"/>
    <col min="14600" max="14600" width="14.0666666666667" style="66" customWidth="1"/>
    <col min="14601" max="14844" width="9.06666666666667" style="66"/>
    <col min="14845" max="14845" width="5.6" style="66" customWidth="1"/>
    <col min="14846" max="14846" width="10.8" style="66" customWidth="1"/>
    <col min="14847" max="14847" width="10" style="66" customWidth="1"/>
    <col min="14848" max="14848" width="8.46666666666667" style="66" customWidth="1"/>
    <col min="14849" max="14849" width="7.8" style="66" customWidth="1"/>
    <col min="14850" max="14850" width="6.53333333333333" style="66" customWidth="1"/>
    <col min="14851" max="14851" width="5.8" style="66" customWidth="1"/>
    <col min="14852" max="14852" width="3.13333333333333" style="66" customWidth="1"/>
    <col min="14853" max="14853" width="7.8" style="66" customWidth="1"/>
    <col min="14854" max="14854" width="9.66666666666667" style="66" customWidth="1"/>
    <col min="14855" max="14855" width="10" style="66" customWidth="1"/>
    <col min="14856" max="14856" width="14.0666666666667" style="66" customWidth="1"/>
    <col min="14857" max="15100" width="9.06666666666667" style="66"/>
    <col min="15101" max="15101" width="5.6" style="66" customWidth="1"/>
    <col min="15102" max="15102" width="10.8" style="66" customWidth="1"/>
    <col min="15103" max="15103" width="10" style="66" customWidth="1"/>
    <col min="15104" max="15104" width="8.46666666666667" style="66" customWidth="1"/>
    <col min="15105" max="15105" width="7.8" style="66" customWidth="1"/>
    <col min="15106" max="15106" width="6.53333333333333" style="66" customWidth="1"/>
    <col min="15107" max="15107" width="5.8" style="66" customWidth="1"/>
    <col min="15108" max="15108" width="3.13333333333333" style="66" customWidth="1"/>
    <col min="15109" max="15109" width="7.8" style="66" customWidth="1"/>
    <col min="15110" max="15110" width="9.66666666666667" style="66" customWidth="1"/>
    <col min="15111" max="15111" width="10" style="66" customWidth="1"/>
    <col min="15112" max="15112" width="14.0666666666667" style="66" customWidth="1"/>
    <col min="15113" max="15356" width="9.06666666666667" style="66"/>
    <col min="15357" max="15357" width="5.6" style="66" customWidth="1"/>
    <col min="15358" max="15358" width="10.8" style="66" customWidth="1"/>
    <col min="15359" max="15359" width="10" style="66" customWidth="1"/>
    <col min="15360" max="15360" width="8.46666666666667" style="66" customWidth="1"/>
    <col min="15361" max="15361" width="7.8" style="66" customWidth="1"/>
    <col min="15362" max="15362" width="6.53333333333333" style="66" customWidth="1"/>
    <col min="15363" max="15363" width="5.8" style="66" customWidth="1"/>
    <col min="15364" max="15364" width="3.13333333333333" style="66" customWidth="1"/>
    <col min="15365" max="15365" width="7.8" style="66" customWidth="1"/>
    <col min="15366" max="15366" width="9.66666666666667" style="66" customWidth="1"/>
    <col min="15367" max="15367" width="10" style="66" customWidth="1"/>
    <col min="15368" max="15368" width="14.0666666666667" style="66" customWidth="1"/>
    <col min="15369" max="15612" width="9.06666666666667" style="66"/>
    <col min="15613" max="15613" width="5.6" style="66" customWidth="1"/>
    <col min="15614" max="15614" width="10.8" style="66" customWidth="1"/>
    <col min="15615" max="15615" width="10" style="66" customWidth="1"/>
    <col min="15616" max="15616" width="8.46666666666667" style="66" customWidth="1"/>
    <col min="15617" max="15617" width="7.8" style="66" customWidth="1"/>
    <col min="15618" max="15618" width="6.53333333333333" style="66" customWidth="1"/>
    <col min="15619" max="15619" width="5.8" style="66" customWidth="1"/>
    <col min="15620" max="15620" width="3.13333333333333" style="66" customWidth="1"/>
    <col min="15621" max="15621" width="7.8" style="66" customWidth="1"/>
    <col min="15622" max="15622" width="9.66666666666667" style="66" customWidth="1"/>
    <col min="15623" max="15623" width="10" style="66" customWidth="1"/>
    <col min="15624" max="15624" width="14.0666666666667" style="66" customWidth="1"/>
    <col min="15625" max="15868" width="9.06666666666667" style="66"/>
    <col min="15869" max="15869" width="5.6" style="66" customWidth="1"/>
    <col min="15870" max="15870" width="10.8" style="66" customWidth="1"/>
    <col min="15871" max="15871" width="10" style="66" customWidth="1"/>
    <col min="15872" max="15872" width="8.46666666666667" style="66" customWidth="1"/>
    <col min="15873" max="15873" width="7.8" style="66" customWidth="1"/>
    <col min="15874" max="15874" width="6.53333333333333" style="66" customWidth="1"/>
    <col min="15875" max="15875" width="5.8" style="66" customWidth="1"/>
    <col min="15876" max="15876" width="3.13333333333333" style="66" customWidth="1"/>
    <col min="15877" max="15877" width="7.8" style="66" customWidth="1"/>
    <col min="15878" max="15878" width="9.66666666666667" style="66" customWidth="1"/>
    <col min="15879" max="15879" width="10" style="66" customWidth="1"/>
    <col min="15880" max="15880" width="14.0666666666667" style="66" customWidth="1"/>
    <col min="15881" max="16124" width="9.06666666666667" style="66"/>
    <col min="16125" max="16125" width="5.6" style="66" customWidth="1"/>
    <col min="16126" max="16126" width="10.8" style="66" customWidth="1"/>
    <col min="16127" max="16127" width="10" style="66" customWidth="1"/>
    <col min="16128" max="16128" width="8.46666666666667" style="66" customWidth="1"/>
    <col min="16129" max="16129" width="7.8" style="66" customWidth="1"/>
    <col min="16130" max="16130" width="6.53333333333333" style="66" customWidth="1"/>
    <col min="16131" max="16131" width="5.8" style="66" customWidth="1"/>
    <col min="16132" max="16132" width="3.13333333333333" style="66" customWidth="1"/>
    <col min="16133" max="16133" width="7.8" style="66" customWidth="1"/>
    <col min="16134" max="16134" width="9.66666666666667" style="66" customWidth="1"/>
    <col min="16135" max="16135" width="10" style="66" customWidth="1"/>
    <col min="16136" max="16136" width="14.0666666666667" style="66" customWidth="1"/>
    <col min="16137" max="16384" width="9.06666666666667" style="66"/>
  </cols>
  <sheetData>
    <row r="1" ht="34.15" customHeight="1" spans="1:12">
      <c r="A1" s="67" t="s">
        <v>0</v>
      </c>
      <c r="B1" s="67"/>
      <c r="C1" s="67"/>
      <c r="D1" s="67"/>
      <c r="E1" s="67"/>
      <c r="F1" s="67"/>
      <c r="G1" s="67"/>
      <c r="H1" s="67"/>
    </row>
    <row r="2" ht="30" customHeight="1" spans="1:12">
      <c r="A2" s="68" t="s">
        <v>1</v>
      </c>
      <c r="B2" s="65"/>
      <c r="C2" s="65"/>
      <c r="D2" s="65"/>
      <c r="E2" s="65"/>
      <c r="F2" s="65"/>
      <c r="G2" s="65"/>
      <c r="H2" s="65"/>
    </row>
    <row r="3" ht="24" customHeight="1" spans="1:12">
      <c r="A3" s="68"/>
      <c r="B3" s="65"/>
      <c r="C3" s="65"/>
      <c r="D3" s="65"/>
      <c r="E3" s="65"/>
      <c r="F3" s="65"/>
      <c r="G3" s="65"/>
      <c r="H3" s="65"/>
    </row>
    <row r="4" ht="33" customHeight="1" spans="1:12">
      <c r="A4" s="67" t="s">
        <v>2</v>
      </c>
      <c r="B4" s="69"/>
      <c r="C4" s="69"/>
      <c r="D4" s="69"/>
      <c r="E4" s="69"/>
      <c r="F4" s="69"/>
      <c r="G4" s="69"/>
      <c r="H4" s="69"/>
    </row>
    <row r="5" ht="141" customHeight="1" spans="1:12">
      <c r="A5" s="70" t="s">
        <v>3</v>
      </c>
      <c r="B5" s="71" t="s">
        <v>4</v>
      </c>
      <c r="C5" s="71"/>
      <c r="D5" s="71"/>
      <c r="E5" s="71"/>
      <c r="F5" s="71"/>
      <c r="G5" s="71" t="s">
        <v>5</v>
      </c>
      <c r="H5" s="71"/>
      <c r="L5" s="72"/>
    </row>
    <row r="6" customFormat="1" ht="23" customHeight="1" spans="1:12">
      <c r="A6" s="70"/>
      <c r="B6" s="73"/>
      <c r="C6" s="73"/>
      <c r="D6" s="73"/>
      <c r="E6" s="73"/>
      <c r="F6" s="73"/>
      <c r="G6" s="73"/>
      <c r="H6" s="73"/>
      <c r="L6" s="72"/>
    </row>
    <row r="7" s="65" customFormat="1" ht="57.75" customHeight="1" spans="1:12">
      <c r="A7" s="74" t="s">
        <v>6</v>
      </c>
      <c r="B7" s="74"/>
      <c r="C7" s="74"/>
      <c r="D7" s="74" t="s">
        <v>7</v>
      </c>
      <c r="E7" s="74" t="s">
        <v>8</v>
      </c>
      <c r="F7" s="74" t="s">
        <v>9</v>
      </c>
      <c r="G7" s="74" t="s">
        <v>10</v>
      </c>
      <c r="H7" s="74" t="s">
        <v>11</v>
      </c>
    </row>
    <row r="8" ht="54" customHeight="1" spans="1:12">
      <c r="A8" s="75" t="s">
        <v>12</v>
      </c>
      <c r="B8" s="76"/>
      <c r="C8" s="77"/>
      <c r="D8" s="55" t="s">
        <v>13</v>
      </c>
      <c r="E8" s="78">
        <f>7776+330</f>
        <v>8106</v>
      </c>
      <c r="F8" s="78">
        <v>19</v>
      </c>
      <c r="G8" s="79">
        <v>0.304</v>
      </c>
      <c r="H8" s="80">
        <f>G8*E8</f>
        <v>2464.224</v>
      </c>
    </row>
    <row r="9" ht="54" customHeight="1" spans="1:12">
      <c r="A9" s="81"/>
      <c r="B9" s="82"/>
      <c r="C9" s="83"/>
      <c r="D9" s="55" t="s">
        <v>14</v>
      </c>
      <c r="E9" s="78">
        <v>9360</v>
      </c>
      <c r="F9" s="78">
        <v>39</v>
      </c>
      <c r="G9" s="79">
        <v>0.4364</v>
      </c>
      <c r="H9" s="80">
        <f>G9*E9</f>
        <v>4084.704</v>
      </c>
    </row>
    <row r="10" ht="24" customHeight="1" spans="1:12">
      <c r="A10" s="84"/>
      <c r="B10" s="85"/>
      <c r="C10" s="86"/>
      <c r="D10" s="84" t="s">
        <v>15</v>
      </c>
      <c r="E10" s="85"/>
      <c r="F10" s="85"/>
      <c r="G10" s="86"/>
      <c r="H10" s="87">
        <f>SUM(H8:H9)</f>
        <v>6548.928</v>
      </c>
    </row>
    <row r="11" ht="24" customHeight="1" spans="1:12">
      <c r="A11" s="84"/>
      <c r="B11" s="85"/>
      <c r="C11" s="86"/>
      <c r="D11" s="84" t="s">
        <v>16</v>
      </c>
      <c r="E11" s="85"/>
      <c r="F11" s="85"/>
      <c r="G11" s="86"/>
      <c r="H11" s="87">
        <v>231.71</v>
      </c>
    </row>
    <row r="12" ht="24" customHeight="1" spans="1:12">
      <c r="A12" s="84"/>
      <c r="B12" s="85"/>
      <c r="C12" s="86"/>
      <c r="D12" s="84" t="s">
        <v>17</v>
      </c>
      <c r="E12" s="85"/>
      <c r="F12" s="85"/>
      <c r="G12" s="86"/>
      <c r="H12" s="87">
        <f>H10-H11</f>
        <v>6317.218</v>
      </c>
    </row>
  </sheetData>
  <mergeCells count="13">
    <mergeCell ref="A1:H1"/>
    <mergeCell ref="A2:H2"/>
    <mergeCell ref="A4:H4"/>
    <mergeCell ref="B5:F5"/>
    <mergeCell ref="G5:H5"/>
    <mergeCell ref="A7:C7"/>
    <mergeCell ref="A10:C10"/>
    <mergeCell ref="D10:G10"/>
    <mergeCell ref="A11:C11"/>
    <mergeCell ref="D11:G11"/>
    <mergeCell ref="A12:C12"/>
    <mergeCell ref="D12:G12"/>
    <mergeCell ref="A8:C9"/>
  </mergeCells>
  <pageMargins left="0.196527777777778" right="0.196527777777778" top="0.196527777777778" bottom="0.196527777777778" header="0.196527777777778" footer="0.196527777777778"/>
  <pageSetup paperSize="9" scale="83" orientation="portrait"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1"/>
  <sheetViews>
    <sheetView tabSelected="1" view="pageBreakPreview" zoomScaleNormal="100" workbookViewId="0">
      <selection activeCell="R9" sqref="R9"/>
    </sheetView>
  </sheetViews>
  <sheetFormatPr defaultColWidth="12.2666666666667" defaultRowHeight="12.75"/>
  <cols>
    <col min="1" max="1" width="6.13333333333333" style="39" customWidth="1"/>
    <col min="2" max="2" width="26.75" style="39" customWidth="1"/>
    <col min="3" max="3" width="18.5833333333333" style="39" customWidth="1"/>
    <col min="4" max="4" width="15.7333333333333" style="39" hidden="1" customWidth="1"/>
    <col min="5" max="10" width="12.2666666666667" style="39" hidden="1" customWidth="1"/>
    <col min="11" max="11" width="9.625" style="39" customWidth="1"/>
    <col min="12" max="12" width="11.5" style="39" customWidth="1"/>
    <col min="13" max="13" width="12.125" style="39" customWidth="1"/>
    <col min="14" max="14" width="13" style="39" customWidth="1"/>
    <col min="15" max="16384" width="12.2666666666667" style="39"/>
  </cols>
  <sheetData>
    <row r="1" ht="50.75" customHeight="1" spans="1:16">
      <c r="A1" s="40" t="s">
        <v>18</v>
      </c>
      <c r="B1" s="41"/>
      <c r="C1" s="41"/>
      <c r="D1" s="41"/>
      <c r="E1" s="41"/>
      <c r="F1" s="41"/>
      <c r="G1" s="41"/>
      <c r="H1" s="41"/>
      <c r="I1" s="41"/>
      <c r="J1" s="41"/>
      <c r="K1" s="41"/>
      <c r="L1" s="41"/>
      <c r="M1" s="41"/>
      <c r="N1" s="41"/>
    </row>
    <row r="2" ht="24" customHeight="1" spans="1:16">
      <c r="A2" s="40"/>
      <c r="B2" s="41"/>
      <c r="C2" s="41"/>
      <c r="D2" s="41"/>
      <c r="E2" s="41"/>
      <c r="F2" s="41"/>
      <c r="G2" s="41"/>
      <c r="H2" s="41"/>
      <c r="I2" s="41"/>
      <c r="J2" s="41"/>
      <c r="K2" s="41"/>
      <c r="L2" s="41"/>
      <c r="M2" s="41"/>
      <c r="N2" s="41"/>
    </row>
    <row r="3" ht="20.65" customHeight="1" spans="1:16">
      <c r="A3" s="42" t="s">
        <v>19</v>
      </c>
      <c r="B3" s="42"/>
      <c r="C3" s="42"/>
      <c r="D3" s="42"/>
      <c r="E3" s="42"/>
      <c r="F3" s="42"/>
      <c r="G3" s="42"/>
      <c r="H3" s="42"/>
      <c r="I3" s="42"/>
      <c r="J3" s="42"/>
      <c r="K3" s="42"/>
      <c r="L3" s="42"/>
      <c r="M3" s="42"/>
      <c r="N3" s="42"/>
    </row>
    <row r="4" ht="13.15" customHeight="1" spans="1:16">
      <c r="A4" s="43" t="s">
        <v>3</v>
      </c>
      <c r="B4" s="44" t="s">
        <v>4</v>
      </c>
      <c r="C4" s="44"/>
      <c r="D4" s="44"/>
      <c r="E4" s="44"/>
      <c r="F4" s="44"/>
      <c r="G4" s="44"/>
      <c r="H4" s="44"/>
      <c r="I4" s="44"/>
      <c r="J4" s="45" t="s">
        <v>20</v>
      </c>
      <c r="K4" s="45"/>
      <c r="L4" s="45"/>
      <c r="M4" s="45"/>
      <c r="N4" s="45"/>
    </row>
    <row r="5" ht="127" customHeight="1" spans="1:16">
      <c r="A5" s="43"/>
      <c r="B5" s="44"/>
      <c r="C5" s="44"/>
      <c r="D5" s="44"/>
      <c r="E5" s="44"/>
      <c r="F5" s="44"/>
      <c r="G5" s="44"/>
      <c r="H5" s="44"/>
      <c r="I5" s="44"/>
      <c r="J5" s="45"/>
      <c r="K5" s="45"/>
      <c r="L5" s="45"/>
      <c r="M5" s="45"/>
      <c r="N5" s="45"/>
    </row>
    <row r="6" spans="1:16">
      <c r="A6" s="46"/>
      <c r="B6" s="46"/>
      <c r="C6" s="46"/>
      <c r="D6" s="46"/>
      <c r="E6" s="47"/>
      <c r="F6" s="47"/>
      <c r="G6" s="47"/>
      <c r="H6" s="47"/>
      <c r="I6" s="47"/>
      <c r="J6" s="48" t="s">
        <v>21</v>
      </c>
      <c r="K6" s="48" t="s">
        <v>21</v>
      </c>
      <c r="L6" s="48" t="s">
        <v>21</v>
      </c>
      <c r="M6" s="48" t="s">
        <v>21</v>
      </c>
    </row>
    <row r="7" spans="1:16">
      <c r="A7" s="49"/>
      <c r="B7" s="49"/>
      <c r="C7" s="49"/>
      <c r="D7" s="50" t="s">
        <v>22</v>
      </c>
      <c r="E7" s="51"/>
      <c r="F7" s="51"/>
      <c r="G7" s="51"/>
      <c r="H7" s="51"/>
      <c r="I7" s="51"/>
      <c r="J7" s="52"/>
      <c r="K7" s="50" t="s">
        <v>15</v>
      </c>
      <c r="L7" s="51"/>
      <c r="M7" s="51"/>
      <c r="N7" s="52"/>
      <c r="P7" s="53"/>
    </row>
    <row r="8" ht="39" customHeight="1" spans="1:16">
      <c r="A8" s="49" t="s">
        <v>23</v>
      </c>
      <c r="B8" s="49" t="s">
        <v>24</v>
      </c>
      <c r="C8" s="49" t="s">
        <v>25</v>
      </c>
      <c r="D8" s="49" t="s">
        <v>26</v>
      </c>
      <c r="E8" s="50" t="s">
        <v>27</v>
      </c>
      <c r="F8" s="51"/>
      <c r="G8" s="52"/>
      <c r="H8" s="54" t="s">
        <v>28</v>
      </c>
      <c r="I8" s="49" t="s">
        <v>29</v>
      </c>
      <c r="J8" s="49" t="s">
        <v>30</v>
      </c>
      <c r="K8" s="49" t="s">
        <v>31</v>
      </c>
      <c r="L8" s="49" t="s">
        <v>32</v>
      </c>
      <c r="M8" s="49" t="s">
        <v>33</v>
      </c>
      <c r="N8" s="49" t="s">
        <v>34</v>
      </c>
    </row>
    <row r="9" ht="40" customHeight="1" spans="1:16">
      <c r="A9" s="55">
        <v>1</v>
      </c>
      <c r="B9" s="55" t="str">
        <f>Invoice!D8</f>
        <v>plastic bottle
HS code: 3923300000</v>
      </c>
      <c r="C9" s="56">
        <f>Invoice!E8</f>
        <v>8106</v>
      </c>
      <c r="D9" s="56">
        <v>240</v>
      </c>
      <c r="E9" s="57">
        <v>48</v>
      </c>
      <c r="F9" s="57">
        <v>33</v>
      </c>
      <c r="G9" s="57">
        <v>46</v>
      </c>
      <c r="H9" s="58">
        <f>0.48*0.33*0.46</f>
        <v>0.072864</v>
      </c>
      <c r="I9" s="59">
        <v>13</v>
      </c>
      <c r="J9" s="59">
        <v>14</v>
      </c>
      <c r="K9" s="60">
        <f>Invoice!F8</f>
        <v>19</v>
      </c>
      <c r="L9" s="59">
        <v>161.57</v>
      </c>
      <c r="M9" s="59">
        <f>198+29.5</f>
        <v>227.5</v>
      </c>
      <c r="N9" s="61">
        <v>2.5</v>
      </c>
    </row>
    <row r="10" ht="40" customHeight="1" spans="1:16">
      <c r="A10" s="55">
        <v>2</v>
      </c>
      <c r="B10" s="55" t="str">
        <f>Invoice!D9</f>
        <v>Cosmetic tube
HS CODE
3923900000</v>
      </c>
      <c r="C10" s="56">
        <f>Invoice!E9</f>
        <v>9360</v>
      </c>
      <c r="D10" s="56">
        <f>Invoice!F9</f>
        <v>39</v>
      </c>
      <c r="E10" s="56">
        <f>Invoice!G9</f>
        <v>0.4364</v>
      </c>
      <c r="F10" s="56">
        <f>Invoice!H9</f>
        <v>4084.704</v>
      </c>
      <c r="G10" s="56">
        <f>Invoice!I9</f>
        <v>0</v>
      </c>
      <c r="H10" s="56">
        <f>Invoice!J9</f>
        <v>0</v>
      </c>
      <c r="I10" s="56">
        <f>Invoice!K9</f>
        <v>0</v>
      </c>
      <c r="J10" s="56">
        <f>Invoice!L9</f>
        <v>0</v>
      </c>
      <c r="K10" s="56">
        <f>Invoice!F9</f>
        <v>39</v>
      </c>
      <c r="L10" s="56">
        <v>18</v>
      </c>
      <c r="M10" s="56">
        <v>318</v>
      </c>
      <c r="N10" s="62">
        <v>4.689</v>
      </c>
    </row>
    <row r="11" ht="26.25" customHeight="1" spans="1:16">
      <c r="A11" s="63" t="s">
        <v>15</v>
      </c>
      <c r="B11" s="63"/>
      <c r="C11" s="63"/>
      <c r="D11" s="63"/>
      <c r="E11" s="63"/>
      <c r="F11" s="63"/>
      <c r="G11" s="63"/>
      <c r="H11" s="63"/>
      <c r="I11" s="63"/>
      <c r="J11" s="63"/>
      <c r="K11" s="64">
        <f>SUM(K9:K10)</f>
        <v>58</v>
      </c>
      <c r="L11" s="64">
        <f>SUM(L9:L10)</f>
        <v>179.57</v>
      </c>
      <c r="M11" s="64">
        <f>SUM(M9:M10)</f>
        <v>545.5</v>
      </c>
      <c r="N11" s="61">
        <f>SUM(N9:N10)</f>
        <v>7.189</v>
      </c>
    </row>
  </sheetData>
  <mergeCells count="10">
    <mergeCell ref="A1:N1"/>
    <mergeCell ref="A3:N3"/>
    <mergeCell ref="A6:D6"/>
    <mergeCell ref="D7:J7"/>
    <mergeCell ref="K7:N7"/>
    <mergeCell ref="E8:G8"/>
    <mergeCell ref="A11:J11"/>
    <mergeCell ref="A4:A5"/>
    <mergeCell ref="J4:N5"/>
    <mergeCell ref="B4:I5"/>
  </mergeCells>
  <pageMargins left="0.196527777777778" right="0.196527777777778" top="0.196527777777778" bottom="0.196527777777778" header="0.196527777777778" footer="0.196527777777778"/>
  <pageSetup paperSize="9" orientation="portrait"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8"/>
  <sheetViews>
    <sheetView workbookViewId="0">
      <selection activeCell="D40" sqref="D40"/>
    </sheetView>
  </sheetViews>
  <sheetFormatPr defaultColWidth="9.33333333333333" defaultRowHeight="14.25"/>
  <cols>
    <col min="1" max="1" width="36" style="3" customWidth="1"/>
    <col min="2" max="2" width="17.3333333333333" style="4" customWidth="1"/>
    <col min="3" max="3" width="14.8" style="3" customWidth="1"/>
    <col min="4" max="4" width="16.9333333333333" style="5" customWidth="1"/>
    <col min="5" max="5" width="14.6666666666667" style="5" customWidth="1"/>
    <col min="6" max="6" width="9.6" style="5" customWidth="1"/>
    <col min="7" max="16384" width="9.33333333333333" style="6"/>
  </cols>
  <sheetData>
    <row r="1" ht="57.75" customHeight="1" spans="1:6">
      <c r="A1" s="7" t="s">
        <v>35</v>
      </c>
      <c r="B1" s="8"/>
      <c r="C1" s="8"/>
      <c r="D1" s="8"/>
      <c r="E1" s="8"/>
    </row>
    <row r="2" ht="20.1" hidden="1" customHeight="1" spans="1:6">
      <c r="A2" s="9"/>
      <c r="B2" s="10"/>
      <c r="C2" s="10"/>
      <c r="D2" s="10"/>
      <c r="E2" s="10"/>
    </row>
    <row r="3" s="1" customFormat="1" ht="27" spans="1:6">
      <c r="A3" s="11" t="s">
        <v>36</v>
      </c>
      <c r="B3" s="11"/>
      <c r="C3" s="11"/>
      <c r="D3" s="11"/>
      <c r="E3" s="11"/>
      <c r="F3" s="12"/>
    </row>
    <row r="4" s="1" customFormat="1" ht="27" spans="1:6">
      <c r="A4" s="8" t="s">
        <v>37</v>
      </c>
      <c r="B4" s="8"/>
      <c r="C4" s="8"/>
      <c r="D4" s="8"/>
      <c r="E4" s="8"/>
      <c r="F4" s="12"/>
    </row>
    <row r="5" s="2" customFormat="1" ht="12.75" spans="1:6">
      <c r="A5" s="13" t="s">
        <v>38</v>
      </c>
      <c r="B5" s="13"/>
      <c r="C5" s="13"/>
      <c r="D5" s="14" t="s">
        <v>39</v>
      </c>
      <c r="E5" s="14"/>
      <c r="F5" s="13"/>
    </row>
    <row r="6" s="2" customFormat="1" ht="12.75" spans="1:6">
      <c r="A6" s="15" t="s">
        <v>40</v>
      </c>
      <c r="B6" s="13"/>
      <c r="C6" s="13"/>
      <c r="D6" s="16" t="s">
        <v>41</v>
      </c>
      <c r="E6" s="16"/>
      <c r="F6" s="13"/>
    </row>
    <row r="7" s="2" customFormat="1" ht="12.75" spans="1:6">
      <c r="A7" s="15" t="s">
        <v>42</v>
      </c>
      <c r="B7" s="13"/>
      <c r="C7" s="13"/>
      <c r="D7" s="13"/>
      <c r="E7" s="13"/>
      <c r="F7" s="13"/>
    </row>
    <row r="8" s="2" customFormat="1" ht="25.5" spans="1:6">
      <c r="A8" s="17" t="s">
        <v>43</v>
      </c>
      <c r="B8" s="17" t="s">
        <v>44</v>
      </c>
      <c r="C8" s="18" t="s">
        <v>45</v>
      </c>
      <c r="D8" s="17" t="s">
        <v>46</v>
      </c>
      <c r="E8" s="17" t="s">
        <v>47</v>
      </c>
      <c r="F8" s="19"/>
    </row>
    <row r="9" s="2" customFormat="1" ht="12.75" spans="1:6">
      <c r="A9" s="20"/>
      <c r="B9" s="21"/>
      <c r="C9" s="17"/>
      <c r="D9" s="22"/>
      <c r="E9" s="23"/>
      <c r="F9" s="19"/>
    </row>
    <row r="10" s="2" customFormat="1" ht="12.75" spans="1:6">
      <c r="A10" s="24"/>
      <c r="B10" s="21"/>
      <c r="C10" s="17"/>
      <c r="D10" s="22"/>
      <c r="E10" s="23"/>
      <c r="F10" s="19"/>
    </row>
    <row r="11" s="2" customFormat="1" ht="12.75" spans="1:6">
      <c r="A11" s="24"/>
      <c r="B11" s="21"/>
      <c r="C11" s="17"/>
      <c r="D11" s="22"/>
      <c r="E11" s="25"/>
      <c r="F11" s="19"/>
    </row>
    <row r="12" s="2" customFormat="1" ht="12.75" spans="1:6">
      <c r="A12" s="24"/>
      <c r="B12" s="24"/>
      <c r="C12" s="17"/>
      <c r="D12" s="22"/>
      <c r="E12" s="25"/>
      <c r="F12" s="19"/>
    </row>
    <row r="13" s="2" customFormat="1" ht="12.75" spans="1:6">
      <c r="A13" s="24"/>
      <c r="B13" s="24"/>
      <c r="C13" s="17"/>
      <c r="D13" s="22"/>
      <c r="E13" s="25"/>
      <c r="F13" s="19"/>
    </row>
    <row r="14" s="2" customFormat="1" ht="12.75" spans="1:6">
      <c r="A14" s="24"/>
      <c r="B14" s="24"/>
      <c r="C14" s="17"/>
      <c r="D14" s="22"/>
      <c r="E14" s="25"/>
      <c r="F14" s="19"/>
    </row>
    <row r="15" s="2" customFormat="1" ht="12.75" spans="1:6">
      <c r="A15" s="17"/>
      <c r="B15" s="17"/>
      <c r="C15" s="18"/>
      <c r="D15" s="26"/>
      <c r="E15" s="27">
        <f>SUM(E9:E14)</f>
        <v>0</v>
      </c>
      <c r="F15" s="19"/>
    </row>
    <row r="16" s="2" customFormat="1" ht="12.75" spans="1:6">
      <c r="A16" s="28" t="s">
        <v>48</v>
      </c>
      <c r="B16" s="28"/>
      <c r="C16" s="28" t="s">
        <v>49</v>
      </c>
      <c r="D16" s="13"/>
      <c r="E16" s="13"/>
      <c r="F16" s="13"/>
    </row>
    <row r="17" s="2" customFormat="1" ht="12.75" spans="1:14">
      <c r="A17" s="28" t="s">
        <v>50</v>
      </c>
      <c r="B17" s="28"/>
      <c r="C17" s="15" t="s">
        <v>51</v>
      </c>
      <c r="D17" s="13"/>
      <c r="E17" s="28"/>
      <c r="F17" s="13"/>
    </row>
    <row r="18" s="2" customFormat="1" ht="12.75" spans="1:14">
      <c r="A18" s="28" t="s">
        <v>52</v>
      </c>
      <c r="B18" s="28"/>
      <c r="C18" s="28" t="s">
        <v>53</v>
      </c>
      <c r="D18" s="13"/>
      <c r="E18" s="28"/>
      <c r="F18" s="13"/>
    </row>
    <row r="19" s="2" customFormat="1" ht="12.75" spans="1:14">
      <c r="A19" s="28" t="s">
        <v>54</v>
      </c>
      <c r="B19" s="28"/>
      <c r="C19" s="29" t="s">
        <v>55</v>
      </c>
      <c r="D19" s="13"/>
      <c r="E19" s="13"/>
      <c r="F19" s="13"/>
    </row>
    <row r="20" s="2" customFormat="1" ht="96.75" customHeight="1" spans="1:14">
      <c r="A20" s="30" t="s">
        <v>56</v>
      </c>
      <c r="B20" s="30"/>
      <c r="C20" s="30"/>
      <c r="D20" s="30"/>
      <c r="E20" s="30"/>
      <c r="F20" s="13"/>
    </row>
    <row r="21" s="2" customFormat="1" ht="12.75" spans="1:14">
      <c r="A21" s="28"/>
      <c r="B21" s="31"/>
      <c r="C21" s="32"/>
      <c r="D21" s="13"/>
      <c r="E21" s="13"/>
      <c r="F21" s="13"/>
    </row>
    <row r="22" s="2" customFormat="1" ht="16.5" spans="1:14">
      <c r="A22" s="28" t="s">
        <v>57</v>
      </c>
      <c r="B22" s="15"/>
      <c r="C22" s="15"/>
      <c r="D22" s="15"/>
      <c r="E22" s="13"/>
      <c r="F22" s="13"/>
    </row>
    <row r="23" s="2" customFormat="1" ht="12.75" spans="1:14">
      <c r="A23" s="28" t="s">
        <v>58</v>
      </c>
      <c r="B23" s="15"/>
      <c r="C23" s="15"/>
      <c r="D23" s="15"/>
      <c r="E23" s="15"/>
      <c r="F23" s="13"/>
    </row>
    <row r="24" s="2" customFormat="1" ht="12.75" spans="1:14">
      <c r="A24" s="28"/>
      <c r="B24" s="15"/>
      <c r="C24" s="15"/>
      <c r="D24" s="15"/>
      <c r="E24" s="15"/>
      <c r="F24" s="13"/>
    </row>
    <row r="25" s="2" customFormat="1" ht="12.75" spans="1:14">
      <c r="A25" s="33"/>
      <c r="B25" s="33"/>
      <c r="C25" s="33"/>
      <c r="D25" s="33"/>
      <c r="E25" s="33"/>
      <c r="F25" s="33"/>
    </row>
    <row r="26" s="2" customFormat="1" ht="12.75" spans="1:14">
      <c r="A26" s="33" t="s">
        <v>59</v>
      </c>
      <c r="B26" s="33"/>
      <c r="C26" s="34" t="s">
        <v>60</v>
      </c>
      <c r="D26" s="13"/>
      <c r="E26" s="13"/>
      <c r="F26" s="13"/>
    </row>
    <row r="27" s="2" customFormat="1" ht="12.75" spans="1:14">
      <c r="A27" s="33" t="s">
        <v>61</v>
      </c>
      <c r="B27" s="13"/>
      <c r="C27" s="33" t="s">
        <v>62</v>
      </c>
      <c r="D27" s="13"/>
      <c r="E27" s="13"/>
      <c r="F27" s="13"/>
    </row>
    <row r="28" s="2" customFormat="1" ht="12.75" spans="1:14">
      <c r="A28" s="13"/>
      <c r="B28" s="13"/>
      <c r="C28" s="13"/>
      <c r="D28" s="13"/>
      <c r="E28" s="13"/>
      <c r="F28" s="13"/>
    </row>
    <row r="29" s="2" customFormat="1" ht="12.75" spans="1:14">
      <c r="A29" s="13"/>
      <c r="B29" s="13"/>
      <c r="C29" s="13"/>
      <c r="D29" s="13"/>
      <c r="E29" s="13"/>
      <c r="F29" s="13"/>
    </row>
    <row r="31" spans="1:14">
      <c r="G31" s="35"/>
      <c r="H31" s="28"/>
      <c r="I31" s="28"/>
      <c r="J31" s="28"/>
      <c r="K31" s="15"/>
      <c r="L31" s="36"/>
      <c r="M31" s="36"/>
      <c r="N31" s="28"/>
    </row>
    <row r="32" spans="1:14">
      <c r="G32" s="35"/>
      <c r="H32" s="28"/>
      <c r="I32" s="28"/>
      <c r="J32" s="28"/>
      <c r="K32" s="15"/>
      <c r="L32" s="36"/>
      <c r="M32" s="36"/>
      <c r="N32" s="28"/>
    </row>
    <row r="33" spans="7:14">
      <c r="G33" s="35"/>
      <c r="H33" s="28"/>
      <c r="I33" s="28"/>
      <c r="J33" s="28"/>
      <c r="K33" s="15"/>
      <c r="L33" s="36"/>
      <c r="M33" s="36"/>
      <c r="N33" s="28"/>
    </row>
    <row r="34" spans="7:14">
      <c r="G34" s="37"/>
      <c r="H34" s="37"/>
      <c r="I34" s="37"/>
      <c r="J34" s="37"/>
      <c r="K34" s="37"/>
      <c r="L34" s="37"/>
      <c r="M34" s="37"/>
      <c r="N34" s="37"/>
    </row>
    <row r="35" spans="7:14">
      <c r="G35" s="37"/>
      <c r="H35" s="37"/>
      <c r="I35" s="37"/>
      <c r="J35" s="37"/>
      <c r="K35" s="37"/>
      <c r="L35" s="37"/>
      <c r="M35" s="37"/>
      <c r="N35" s="37"/>
    </row>
    <row r="36" spans="7:14">
      <c r="G36" s="37"/>
      <c r="H36" s="37"/>
      <c r="I36" s="37"/>
      <c r="J36" s="37"/>
      <c r="K36" s="37"/>
      <c r="L36" s="37"/>
      <c r="M36" s="37"/>
      <c r="N36" s="37"/>
    </row>
    <row r="37" spans="7:14">
      <c r="G37" s="38"/>
      <c r="H37" s="38"/>
      <c r="I37" s="38"/>
      <c r="J37" s="38"/>
      <c r="K37" s="38"/>
      <c r="L37" s="38"/>
      <c r="M37" s="38"/>
      <c r="N37" s="38"/>
    </row>
    <row r="38" spans="7:14">
      <c r="G38" s="38"/>
      <c r="H38" s="38"/>
      <c r="I38" s="38"/>
      <c r="J38" s="38"/>
      <c r="K38" s="38"/>
      <c r="L38" s="38"/>
      <c r="M38" s="38"/>
      <c r="N38" s="38"/>
    </row>
  </sheetData>
  <mergeCells count="8">
    <mergeCell ref="A1:E1"/>
    <mergeCell ref="A2:E2"/>
    <mergeCell ref="A3:E3"/>
    <mergeCell ref="A4:E4"/>
    <mergeCell ref="D5:E5"/>
    <mergeCell ref="D6:E6"/>
    <mergeCell ref="A20:E20"/>
    <mergeCell ref="G37:N37"/>
  </mergeCells>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Invoice</vt:lpstr>
      <vt:lpstr>Packing list</vt:lpstr>
      <vt:lpstr>Contract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Christina Shui</dc:creator>
  <cp:lastModifiedBy>Lovely</cp:lastModifiedBy>
  <dcterms:created xsi:type="dcterms:W3CDTF">2015-06-05T18:19:00Z</dcterms:created>
  <dcterms:modified xsi:type="dcterms:W3CDTF">2026-05-22T01:21:51Z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C9B5589E3825468394862083193A9ACD_12</vt:lpwstr>
  </property>
  <property fmtid="{D5CDD505-2E9C-101B-9397-08002B2CF9AE}" pid="3" name="KSOProductBuildVer">
    <vt:lpwstr>2052-12.1.0.26375</vt:lpwstr>
  </property>
  <property fmtid="{D5CDD505-2E9C-101B-9397-08002B2CF9AE}" pid="4" name="CalculationRule">
    <vt:i4>0</vt:i4>
  </property>
</Properties>
</file>